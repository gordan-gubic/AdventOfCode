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AdventOfCode\Docs\2025\"/>
    </mc:Choice>
  </mc:AlternateContent>
  <xr:revisionPtr revIDLastSave="0" documentId="13_ncr:1_{4179AB79-6C40-4FE1-9076-6D2437C11446}" xr6:coauthVersionLast="47" xr6:coauthVersionMax="47" xr10:uidLastSave="{00000000-0000-0000-0000-000000000000}"/>
  <bookViews>
    <workbookView xWindow="390" yWindow="390" windowWidth="28800" windowHeight="15345" activeTab="3" xr2:uid="{B44EEF06-F11A-4E50-B49D-20402492338E}"/>
  </bookViews>
  <sheets>
    <sheet name="Sheet1" sheetId="20" r:id="rId1"/>
    <sheet name="Sheet2" sheetId="21" r:id="rId2"/>
    <sheet name="Prod" sheetId="22" r:id="rId3"/>
    <sheet name="Prod-X" sheetId="23" r:id="rId4"/>
    <sheet name="Prod-XX" sheetId="25" r:id="rId5"/>
    <sheet name="Sheet7" sheetId="26" r:id="rId6"/>
    <sheet name="Sheet5" sheetId="2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" i="23" l="1"/>
  <c r="B8" i="26"/>
  <c r="AQ1" i="26" s="1"/>
  <c r="J3" i="26"/>
  <c r="J6" i="26" s="1"/>
  <c r="AW1" i="26"/>
  <c r="AU1" i="26"/>
  <c r="AS1" i="26"/>
  <c r="I3" i="26"/>
  <c r="I6" i="26" s="1"/>
  <c r="H3" i="26"/>
  <c r="H6" i="26" s="1"/>
  <c r="G3" i="26"/>
  <c r="G6" i="26" s="1"/>
  <c r="F3" i="26"/>
  <c r="F6" i="26" s="1"/>
  <c r="E3" i="26"/>
  <c r="E6" i="26" s="1"/>
  <c r="D3" i="26"/>
  <c r="D6" i="26" s="1"/>
  <c r="C3" i="26"/>
  <c r="C6" i="26" s="1"/>
  <c r="B3" i="26"/>
  <c r="B6" i="26" s="1"/>
  <c r="BK4" i="25"/>
  <c r="BI4" i="25"/>
  <c r="BG4" i="25"/>
  <c r="BA4" i="25"/>
  <c r="BE4" i="25" s="1"/>
  <c r="AM4" i="25"/>
  <c r="AL4" i="25"/>
  <c r="AK4" i="25"/>
  <c r="AJ4" i="25"/>
  <c r="AI4" i="25"/>
  <c r="AH4" i="25"/>
  <c r="AG4" i="25"/>
  <c r="AF4" i="25"/>
  <c r="AE4" i="25"/>
  <c r="BK3" i="25"/>
  <c r="BI3" i="25"/>
  <c r="BG3" i="25"/>
  <c r="BA3" i="25"/>
  <c r="BE3" i="25" s="1"/>
  <c r="AM3" i="25"/>
  <c r="AL3" i="25"/>
  <c r="AK3" i="25"/>
  <c r="AJ3" i="25"/>
  <c r="AI3" i="25"/>
  <c r="AH3" i="25"/>
  <c r="AG3" i="25"/>
  <c r="AF3" i="25"/>
  <c r="AE3" i="25"/>
  <c r="BK2" i="25"/>
  <c r="BI2" i="25"/>
  <c r="BG2" i="25"/>
  <c r="BA2" i="25"/>
  <c r="BE2" i="25" s="1"/>
  <c r="AK2" i="25"/>
  <c r="AJ2" i="25"/>
  <c r="AI2" i="25"/>
  <c r="AH2" i="25"/>
  <c r="AG2" i="25"/>
  <c r="AF2" i="25"/>
  <c r="AE2" i="25"/>
  <c r="BK1" i="25"/>
  <c r="BI1" i="25"/>
  <c r="BG1" i="25"/>
  <c r="BA1" i="25"/>
  <c r="BE1" i="25" s="1"/>
  <c r="AN1" i="25"/>
  <c r="AM1" i="25"/>
  <c r="AL1" i="25"/>
  <c r="AK1" i="25"/>
  <c r="AJ1" i="25"/>
  <c r="AI1" i="25"/>
  <c r="AH1" i="25"/>
  <c r="AG1" i="25"/>
  <c r="AF1" i="25"/>
  <c r="AE1" i="25"/>
  <c r="BK2" i="23"/>
  <c r="BK3" i="23"/>
  <c r="BK4" i="23"/>
  <c r="BK5" i="23"/>
  <c r="BK6" i="23"/>
  <c r="BK7" i="23"/>
  <c r="BK8" i="23"/>
  <c r="BK9" i="23"/>
  <c r="BK10" i="23"/>
  <c r="BK11" i="23"/>
  <c r="BK12" i="23"/>
  <c r="BK13" i="23"/>
  <c r="BK14" i="23"/>
  <c r="BK15" i="23"/>
  <c r="BK16" i="23"/>
  <c r="BK17" i="23"/>
  <c r="BK18" i="23"/>
  <c r="BK19" i="23"/>
  <c r="BK20" i="23"/>
  <c r="BK21" i="23"/>
  <c r="BK22" i="23"/>
  <c r="BK23" i="23"/>
  <c r="BK24" i="23"/>
  <c r="BK25" i="23"/>
  <c r="BK26" i="23"/>
  <c r="BK27" i="23"/>
  <c r="BK28" i="23"/>
  <c r="BK29" i="23"/>
  <c r="BK30" i="23"/>
  <c r="BK31" i="23"/>
  <c r="BK32" i="23"/>
  <c r="BK33" i="23"/>
  <c r="BK34" i="23"/>
  <c r="BK35" i="23"/>
  <c r="BK36" i="23"/>
  <c r="BK37" i="23"/>
  <c r="BK38" i="23"/>
  <c r="BK39" i="23"/>
  <c r="BK40" i="23"/>
  <c r="BK41" i="23"/>
  <c r="BK42" i="23"/>
  <c r="BK43" i="23"/>
  <c r="BK44" i="23"/>
  <c r="BK45" i="23"/>
  <c r="BK46" i="23"/>
  <c r="BK47" i="23"/>
  <c r="BK48" i="23"/>
  <c r="BK49" i="23"/>
  <c r="BK50" i="23"/>
  <c r="BK51" i="23"/>
  <c r="BK52" i="23"/>
  <c r="BK53" i="23"/>
  <c r="BK54" i="23"/>
  <c r="BK55" i="23"/>
  <c r="BK56" i="23"/>
  <c r="BK57" i="23"/>
  <c r="BK58" i="23"/>
  <c r="BK59" i="23"/>
  <c r="BK60" i="23"/>
  <c r="BK61" i="23"/>
  <c r="BK62" i="23"/>
  <c r="BK63" i="23"/>
  <c r="BK64" i="23"/>
  <c r="BK65" i="23"/>
  <c r="BK66" i="23"/>
  <c r="BK67" i="23"/>
  <c r="BK68" i="23"/>
  <c r="BK69" i="23"/>
  <c r="BK70" i="23"/>
  <c r="BK71" i="23"/>
  <c r="BK72" i="23"/>
  <c r="BK73" i="23"/>
  <c r="BK74" i="23"/>
  <c r="BK75" i="23"/>
  <c r="BK76" i="23"/>
  <c r="BK77" i="23"/>
  <c r="BK78" i="23"/>
  <c r="BK79" i="23"/>
  <c r="BK80" i="23"/>
  <c r="BK81" i="23"/>
  <c r="BK82" i="23"/>
  <c r="BK83" i="23"/>
  <c r="BK84" i="23"/>
  <c r="BK85" i="23"/>
  <c r="BK86" i="23"/>
  <c r="BK87" i="23"/>
  <c r="BK88" i="23"/>
  <c r="BK89" i="23"/>
  <c r="BK90" i="23"/>
  <c r="BK91" i="23"/>
  <c r="BK92" i="23"/>
  <c r="BK93" i="23"/>
  <c r="BK94" i="23"/>
  <c r="BK95" i="23"/>
  <c r="BK96" i="23"/>
  <c r="BK97" i="23"/>
  <c r="BK98" i="23"/>
  <c r="BK99" i="23"/>
  <c r="BK100" i="23"/>
  <c r="BK101" i="23"/>
  <c r="BK102" i="23"/>
  <c r="BK103" i="23"/>
  <c r="BK104" i="23"/>
  <c r="BK105" i="23"/>
  <c r="BK106" i="23"/>
  <c r="BK107" i="23"/>
  <c r="BK108" i="23"/>
  <c r="BK109" i="23"/>
  <c r="BK110" i="23"/>
  <c r="BK111" i="23"/>
  <c r="BK112" i="23"/>
  <c r="BK113" i="23"/>
  <c r="BK114" i="23"/>
  <c r="BK115" i="23"/>
  <c r="BK116" i="23"/>
  <c r="BK117" i="23"/>
  <c r="BK118" i="23"/>
  <c r="BK119" i="23"/>
  <c r="BK120" i="23"/>
  <c r="BK121" i="23"/>
  <c r="BK122" i="23"/>
  <c r="BK123" i="23"/>
  <c r="BK124" i="23"/>
  <c r="BK125" i="23"/>
  <c r="BK126" i="23"/>
  <c r="BK127" i="23"/>
  <c r="BK128" i="23"/>
  <c r="BK129" i="23"/>
  <c r="BK130" i="23"/>
  <c r="BK131" i="23"/>
  <c r="BK132" i="23"/>
  <c r="BK133" i="23"/>
  <c r="BK134" i="23"/>
  <c r="BK135" i="23"/>
  <c r="BK136" i="23"/>
  <c r="BK137" i="23"/>
  <c r="BK138" i="23"/>
  <c r="BK139" i="23"/>
  <c r="BK140" i="23"/>
  <c r="BK141" i="23"/>
  <c r="BK142" i="23"/>
  <c r="BK143" i="23"/>
  <c r="BK144" i="23"/>
  <c r="BK145" i="23"/>
  <c r="BK146" i="23"/>
  <c r="BK147" i="23"/>
  <c r="BK148" i="23"/>
  <c r="BK149" i="23"/>
  <c r="BK150" i="23"/>
  <c r="BK151" i="23"/>
  <c r="BK152" i="23"/>
  <c r="BK153" i="23"/>
  <c r="BK154" i="23"/>
  <c r="BK155" i="23"/>
  <c r="BK156" i="23"/>
  <c r="BK157" i="23"/>
  <c r="BK158" i="23"/>
  <c r="BK159" i="23"/>
  <c r="BK160" i="23"/>
  <c r="BK161" i="23"/>
  <c r="BK162" i="23"/>
  <c r="BK163" i="23"/>
  <c r="BK164" i="23"/>
  <c r="BK165" i="23"/>
  <c r="BK166" i="23"/>
  <c r="BK167" i="23"/>
  <c r="BK168" i="23"/>
  <c r="BK169" i="23"/>
  <c r="BK170" i="23"/>
  <c r="BK171" i="23"/>
  <c r="BK172" i="23"/>
  <c r="BK173" i="23"/>
  <c r="BK174" i="23"/>
  <c r="BK175" i="23"/>
  <c r="BK176" i="23"/>
  <c r="BK177" i="23"/>
  <c r="BK178" i="23"/>
  <c r="BK179" i="23"/>
  <c r="BK180" i="23"/>
  <c r="BK181" i="23"/>
  <c r="BK182" i="23"/>
  <c r="BK183" i="23"/>
  <c r="BK184" i="23"/>
  <c r="BK185" i="23"/>
  <c r="BK186" i="23"/>
  <c r="BK187" i="23"/>
  <c r="BK188" i="23"/>
  <c r="BK189" i="23"/>
  <c r="BK190" i="23"/>
  <c r="BK191" i="23"/>
  <c r="BK192" i="23"/>
  <c r="BK193" i="23"/>
  <c r="BK194" i="23"/>
  <c r="BK195" i="23"/>
  <c r="BK196" i="23"/>
  <c r="BK197" i="23"/>
  <c r="BK1" i="23"/>
  <c r="BI2" i="23"/>
  <c r="BI3" i="23"/>
  <c r="BI4" i="23"/>
  <c r="BI5" i="23"/>
  <c r="BI6" i="23"/>
  <c r="BI7" i="23"/>
  <c r="BI8" i="23"/>
  <c r="BI9" i="23"/>
  <c r="BI10" i="23"/>
  <c r="BI11" i="23"/>
  <c r="BI12" i="23"/>
  <c r="BI13" i="23"/>
  <c r="BI14" i="23"/>
  <c r="BI15" i="23"/>
  <c r="BI16" i="23"/>
  <c r="BI17" i="23"/>
  <c r="BI18" i="23"/>
  <c r="BI19" i="23"/>
  <c r="BI20" i="23"/>
  <c r="BI21" i="23"/>
  <c r="BI22" i="23"/>
  <c r="BI23" i="23"/>
  <c r="BI24" i="23"/>
  <c r="BI25" i="23"/>
  <c r="BI26" i="23"/>
  <c r="BI27" i="23"/>
  <c r="BI28" i="23"/>
  <c r="BI29" i="23"/>
  <c r="BI30" i="23"/>
  <c r="BI31" i="23"/>
  <c r="BI32" i="23"/>
  <c r="BI33" i="23"/>
  <c r="BI34" i="23"/>
  <c r="BI35" i="23"/>
  <c r="BI36" i="23"/>
  <c r="BI37" i="23"/>
  <c r="BI38" i="23"/>
  <c r="BI39" i="23"/>
  <c r="BI40" i="23"/>
  <c r="BI41" i="23"/>
  <c r="BI42" i="23"/>
  <c r="BI43" i="23"/>
  <c r="BI44" i="23"/>
  <c r="BI45" i="23"/>
  <c r="BI46" i="23"/>
  <c r="BI47" i="23"/>
  <c r="BI48" i="23"/>
  <c r="BI49" i="23"/>
  <c r="BI50" i="23"/>
  <c r="BI51" i="23"/>
  <c r="BI52" i="23"/>
  <c r="BI53" i="23"/>
  <c r="BI54" i="23"/>
  <c r="BI55" i="23"/>
  <c r="BI56" i="23"/>
  <c r="BI57" i="23"/>
  <c r="BI58" i="23"/>
  <c r="BI59" i="23"/>
  <c r="BI60" i="23"/>
  <c r="BI61" i="23"/>
  <c r="BI62" i="23"/>
  <c r="BI63" i="23"/>
  <c r="BI64" i="23"/>
  <c r="BI65" i="23"/>
  <c r="BI66" i="23"/>
  <c r="BI67" i="23"/>
  <c r="BI68" i="23"/>
  <c r="BI69" i="23"/>
  <c r="BI70" i="23"/>
  <c r="BI71" i="23"/>
  <c r="BI72" i="23"/>
  <c r="BI73" i="23"/>
  <c r="BI74" i="23"/>
  <c r="BI75" i="23"/>
  <c r="BI76" i="23"/>
  <c r="BI77" i="23"/>
  <c r="BI78" i="23"/>
  <c r="BI79" i="23"/>
  <c r="BI80" i="23"/>
  <c r="BI81" i="23"/>
  <c r="BI82" i="23"/>
  <c r="BI83" i="23"/>
  <c r="BI84" i="23"/>
  <c r="BI85" i="23"/>
  <c r="BI86" i="23"/>
  <c r="BI87" i="23"/>
  <c r="BI88" i="23"/>
  <c r="BI89" i="23"/>
  <c r="BI90" i="23"/>
  <c r="BI91" i="23"/>
  <c r="BI92" i="23"/>
  <c r="BI93" i="23"/>
  <c r="BI94" i="23"/>
  <c r="BI95" i="23"/>
  <c r="BI96" i="23"/>
  <c r="BI97" i="23"/>
  <c r="BI98" i="23"/>
  <c r="BI99" i="23"/>
  <c r="BI100" i="23"/>
  <c r="BI101" i="23"/>
  <c r="BI102" i="23"/>
  <c r="BI103" i="23"/>
  <c r="BI104" i="23"/>
  <c r="BI105" i="23"/>
  <c r="BI106" i="23"/>
  <c r="BI107" i="23"/>
  <c r="BI108" i="23"/>
  <c r="BI109" i="23"/>
  <c r="BI110" i="23"/>
  <c r="BI111" i="23"/>
  <c r="BI112" i="23"/>
  <c r="BI113" i="23"/>
  <c r="BI114" i="23"/>
  <c r="BI115" i="23"/>
  <c r="BI116" i="23"/>
  <c r="BI117" i="23"/>
  <c r="BI118" i="23"/>
  <c r="BI119" i="23"/>
  <c r="BI120" i="23"/>
  <c r="BI121" i="23"/>
  <c r="BI122" i="23"/>
  <c r="BI123" i="23"/>
  <c r="BI124" i="23"/>
  <c r="BI125" i="23"/>
  <c r="BI126" i="23"/>
  <c r="BI127" i="23"/>
  <c r="BI128" i="23"/>
  <c r="BI129" i="23"/>
  <c r="BI130" i="23"/>
  <c r="BI131" i="23"/>
  <c r="BI132" i="23"/>
  <c r="BI133" i="23"/>
  <c r="BI134" i="23"/>
  <c r="BI135" i="23"/>
  <c r="BI136" i="23"/>
  <c r="BI137" i="23"/>
  <c r="BI138" i="23"/>
  <c r="BI139" i="23"/>
  <c r="BI140" i="23"/>
  <c r="BI141" i="23"/>
  <c r="BI142" i="23"/>
  <c r="BI143" i="23"/>
  <c r="BI144" i="23"/>
  <c r="BI145" i="23"/>
  <c r="BI146" i="23"/>
  <c r="BI147" i="23"/>
  <c r="BI148" i="23"/>
  <c r="BI149" i="23"/>
  <c r="BI150" i="23"/>
  <c r="BI151" i="23"/>
  <c r="BI152" i="23"/>
  <c r="BI153" i="23"/>
  <c r="BI154" i="23"/>
  <c r="BI155" i="23"/>
  <c r="BI156" i="23"/>
  <c r="BI157" i="23"/>
  <c r="BI158" i="23"/>
  <c r="BI159" i="23"/>
  <c r="BI160" i="23"/>
  <c r="BI161" i="23"/>
  <c r="BI162" i="23"/>
  <c r="BI163" i="23"/>
  <c r="BI164" i="23"/>
  <c r="BI165" i="23"/>
  <c r="BI166" i="23"/>
  <c r="BI167" i="23"/>
  <c r="BI168" i="23"/>
  <c r="BI169" i="23"/>
  <c r="BI170" i="23"/>
  <c r="BI171" i="23"/>
  <c r="BI172" i="23"/>
  <c r="BI173" i="23"/>
  <c r="BI174" i="23"/>
  <c r="BI175" i="23"/>
  <c r="BI176" i="23"/>
  <c r="BI177" i="23"/>
  <c r="BI178" i="23"/>
  <c r="BI179" i="23"/>
  <c r="BI180" i="23"/>
  <c r="BI181" i="23"/>
  <c r="BI182" i="23"/>
  <c r="BI183" i="23"/>
  <c r="BI184" i="23"/>
  <c r="BI185" i="23"/>
  <c r="BI186" i="23"/>
  <c r="BI187" i="23"/>
  <c r="BI188" i="23"/>
  <c r="BI189" i="23"/>
  <c r="BI190" i="23"/>
  <c r="BI191" i="23"/>
  <c r="BI192" i="23"/>
  <c r="BI193" i="23"/>
  <c r="BI194" i="23"/>
  <c r="BI195" i="23"/>
  <c r="BI196" i="23"/>
  <c r="BI197" i="23"/>
  <c r="BI1" i="23"/>
  <c r="BG2" i="23"/>
  <c r="BG3" i="23"/>
  <c r="BG4" i="23"/>
  <c r="BG5" i="23"/>
  <c r="BG6" i="23"/>
  <c r="BG7" i="23"/>
  <c r="BG8" i="23"/>
  <c r="BG9" i="23"/>
  <c r="BG10" i="23"/>
  <c r="BG11" i="23"/>
  <c r="BG12" i="23"/>
  <c r="BG13" i="23"/>
  <c r="BG14" i="23"/>
  <c r="BG15" i="23"/>
  <c r="BG16" i="23"/>
  <c r="BG17" i="23"/>
  <c r="BG18" i="23"/>
  <c r="BG19" i="23"/>
  <c r="BG20" i="23"/>
  <c r="BG21" i="23"/>
  <c r="BG22" i="23"/>
  <c r="BG23" i="23"/>
  <c r="BG24" i="23"/>
  <c r="BG25" i="23"/>
  <c r="BG26" i="23"/>
  <c r="BG27" i="23"/>
  <c r="BG28" i="23"/>
  <c r="BG29" i="23"/>
  <c r="BG30" i="23"/>
  <c r="BG31" i="23"/>
  <c r="BG32" i="23"/>
  <c r="BG33" i="23"/>
  <c r="BG34" i="23"/>
  <c r="BG35" i="23"/>
  <c r="BG36" i="23"/>
  <c r="BG37" i="23"/>
  <c r="BG38" i="23"/>
  <c r="BG39" i="23"/>
  <c r="BG40" i="23"/>
  <c r="BG41" i="23"/>
  <c r="BG42" i="23"/>
  <c r="BG43" i="23"/>
  <c r="BG44" i="23"/>
  <c r="BG45" i="23"/>
  <c r="BG46" i="23"/>
  <c r="BG47" i="23"/>
  <c r="BG48" i="23"/>
  <c r="BG49" i="23"/>
  <c r="BG50" i="23"/>
  <c r="BG51" i="23"/>
  <c r="BG52" i="23"/>
  <c r="BG53" i="23"/>
  <c r="BG54" i="23"/>
  <c r="BG55" i="23"/>
  <c r="BG56" i="23"/>
  <c r="BG57" i="23"/>
  <c r="BG58" i="23"/>
  <c r="BG59" i="23"/>
  <c r="BG60" i="23"/>
  <c r="BG61" i="23"/>
  <c r="BG62" i="23"/>
  <c r="BG63" i="23"/>
  <c r="BG64" i="23"/>
  <c r="BG65" i="23"/>
  <c r="BG66" i="23"/>
  <c r="BG67" i="23"/>
  <c r="BG68" i="23"/>
  <c r="BG69" i="23"/>
  <c r="BG70" i="23"/>
  <c r="BG71" i="23"/>
  <c r="BG72" i="23"/>
  <c r="BG73" i="23"/>
  <c r="BG74" i="23"/>
  <c r="BG75" i="23"/>
  <c r="BG76" i="23"/>
  <c r="BG77" i="23"/>
  <c r="BG78" i="23"/>
  <c r="BG79" i="23"/>
  <c r="BG80" i="23"/>
  <c r="BG81" i="23"/>
  <c r="BG82" i="23"/>
  <c r="BG83" i="23"/>
  <c r="BG84" i="23"/>
  <c r="BG85" i="23"/>
  <c r="BG86" i="23"/>
  <c r="BG87" i="23"/>
  <c r="BG88" i="23"/>
  <c r="BG89" i="23"/>
  <c r="BG90" i="23"/>
  <c r="BG91" i="23"/>
  <c r="BG92" i="23"/>
  <c r="BG93" i="23"/>
  <c r="BG94" i="23"/>
  <c r="BG95" i="23"/>
  <c r="BG96" i="23"/>
  <c r="BG97" i="23"/>
  <c r="BG98" i="23"/>
  <c r="BG99" i="23"/>
  <c r="BG100" i="23"/>
  <c r="BG101" i="23"/>
  <c r="BG102" i="23"/>
  <c r="BG103" i="23"/>
  <c r="BG104" i="23"/>
  <c r="BG105" i="23"/>
  <c r="BG106" i="23"/>
  <c r="BG107" i="23"/>
  <c r="BG108" i="23"/>
  <c r="BG109" i="23"/>
  <c r="BG110" i="23"/>
  <c r="BG111" i="23"/>
  <c r="BG112" i="23"/>
  <c r="BG113" i="23"/>
  <c r="BG114" i="23"/>
  <c r="BG115" i="23"/>
  <c r="BG116" i="23"/>
  <c r="BG117" i="23"/>
  <c r="BG118" i="23"/>
  <c r="BG119" i="23"/>
  <c r="BG120" i="23"/>
  <c r="BG121" i="23"/>
  <c r="BG122" i="23"/>
  <c r="BG123" i="23"/>
  <c r="BG124" i="23"/>
  <c r="BG125" i="23"/>
  <c r="BG126" i="23"/>
  <c r="BG127" i="23"/>
  <c r="BG128" i="23"/>
  <c r="BG129" i="23"/>
  <c r="BG130" i="23"/>
  <c r="BG131" i="23"/>
  <c r="BG132" i="23"/>
  <c r="BG133" i="23"/>
  <c r="BG134" i="23"/>
  <c r="BG135" i="23"/>
  <c r="BG136" i="23"/>
  <c r="BG137" i="23"/>
  <c r="BG138" i="23"/>
  <c r="BG139" i="23"/>
  <c r="BG140" i="23"/>
  <c r="BG141" i="23"/>
  <c r="BG142" i="23"/>
  <c r="BG143" i="23"/>
  <c r="BG144" i="23"/>
  <c r="BG145" i="23"/>
  <c r="BG146" i="23"/>
  <c r="BG147" i="23"/>
  <c r="BG148" i="23"/>
  <c r="BG149" i="23"/>
  <c r="BG150" i="23"/>
  <c r="BG151" i="23"/>
  <c r="BG152" i="23"/>
  <c r="BG153" i="23"/>
  <c r="BG154" i="23"/>
  <c r="BG155" i="23"/>
  <c r="BG156" i="23"/>
  <c r="BG157" i="23"/>
  <c r="BG158" i="23"/>
  <c r="BG159" i="23"/>
  <c r="BG160" i="23"/>
  <c r="BG161" i="23"/>
  <c r="BG162" i="23"/>
  <c r="BG163" i="23"/>
  <c r="BG164" i="23"/>
  <c r="BG165" i="23"/>
  <c r="BG166" i="23"/>
  <c r="BG167" i="23"/>
  <c r="BG168" i="23"/>
  <c r="BG169" i="23"/>
  <c r="BG170" i="23"/>
  <c r="BG171" i="23"/>
  <c r="BG172" i="23"/>
  <c r="BG173" i="23"/>
  <c r="BG174" i="23"/>
  <c r="BG175" i="23"/>
  <c r="BG176" i="23"/>
  <c r="BG177" i="23"/>
  <c r="BG178" i="23"/>
  <c r="BG179" i="23"/>
  <c r="BG180" i="23"/>
  <c r="BG181" i="23"/>
  <c r="BG182" i="23"/>
  <c r="BG183" i="23"/>
  <c r="BG184" i="23"/>
  <c r="BG185" i="23"/>
  <c r="BG186" i="23"/>
  <c r="BG187" i="23"/>
  <c r="BG188" i="23"/>
  <c r="BG189" i="23"/>
  <c r="BG190" i="23"/>
  <c r="BG191" i="23"/>
  <c r="BG192" i="23"/>
  <c r="BG193" i="23"/>
  <c r="BG194" i="23"/>
  <c r="BG195" i="23"/>
  <c r="BG196" i="23"/>
  <c r="BG197" i="23"/>
  <c r="BG1" i="23"/>
  <c r="BE3" i="23"/>
  <c r="BE4" i="23"/>
  <c r="BE5" i="23"/>
  <c r="BE6" i="23"/>
  <c r="BE7" i="23"/>
  <c r="BE8" i="23"/>
  <c r="BE9" i="23"/>
  <c r="BE10" i="23"/>
  <c r="BE11" i="23"/>
  <c r="BE12" i="23"/>
  <c r="BE13" i="23"/>
  <c r="BE14" i="23"/>
  <c r="BE15" i="23"/>
  <c r="BE16" i="23"/>
  <c r="BE17" i="23"/>
  <c r="BE18" i="23"/>
  <c r="BE19" i="23"/>
  <c r="BE20" i="23"/>
  <c r="BE21" i="23"/>
  <c r="BE22" i="23"/>
  <c r="BE23" i="23"/>
  <c r="BE24" i="23"/>
  <c r="BE25" i="23"/>
  <c r="BE26" i="23"/>
  <c r="BE27" i="23"/>
  <c r="BE28" i="23"/>
  <c r="BE29" i="23"/>
  <c r="BE30" i="23"/>
  <c r="BE31" i="23"/>
  <c r="BE32" i="23"/>
  <c r="BE33" i="23"/>
  <c r="BE34" i="23"/>
  <c r="BE35" i="23"/>
  <c r="BE36" i="23"/>
  <c r="BE37" i="23"/>
  <c r="BE38" i="23"/>
  <c r="BE39" i="23"/>
  <c r="BE40" i="23"/>
  <c r="BE41" i="23"/>
  <c r="BE42" i="23"/>
  <c r="BE43" i="23"/>
  <c r="BE44" i="23"/>
  <c r="BE45" i="23"/>
  <c r="BE46" i="23"/>
  <c r="BE47" i="23"/>
  <c r="BE48" i="23"/>
  <c r="BE49" i="23"/>
  <c r="BE50" i="23"/>
  <c r="BE51" i="23"/>
  <c r="BE52" i="23"/>
  <c r="BE53" i="23"/>
  <c r="BE54" i="23"/>
  <c r="BE55" i="23"/>
  <c r="BE56" i="23"/>
  <c r="BE57" i="23"/>
  <c r="BE58" i="23"/>
  <c r="BE59" i="23"/>
  <c r="BE60" i="23"/>
  <c r="BE61" i="23"/>
  <c r="BE62" i="23"/>
  <c r="BE63" i="23"/>
  <c r="BE64" i="23"/>
  <c r="BE65" i="23"/>
  <c r="BE66" i="23"/>
  <c r="BE67" i="23"/>
  <c r="BE68" i="23"/>
  <c r="BE69" i="23"/>
  <c r="BE70" i="23"/>
  <c r="BE71" i="23"/>
  <c r="BE72" i="23"/>
  <c r="BE73" i="23"/>
  <c r="BE74" i="23"/>
  <c r="BE75" i="23"/>
  <c r="BE76" i="23"/>
  <c r="BE77" i="23"/>
  <c r="BE78" i="23"/>
  <c r="BE79" i="23"/>
  <c r="BE80" i="23"/>
  <c r="BE81" i="23"/>
  <c r="BE82" i="23"/>
  <c r="BE83" i="23"/>
  <c r="BE84" i="23"/>
  <c r="BE85" i="23"/>
  <c r="BE86" i="23"/>
  <c r="BE87" i="23"/>
  <c r="BE88" i="23"/>
  <c r="BE89" i="23"/>
  <c r="BE90" i="23"/>
  <c r="BE91" i="23"/>
  <c r="BE92" i="23"/>
  <c r="BE93" i="23"/>
  <c r="BE94" i="23"/>
  <c r="BE95" i="23"/>
  <c r="BE96" i="23"/>
  <c r="BE97" i="23"/>
  <c r="BE98" i="23"/>
  <c r="BE99" i="23"/>
  <c r="BE100" i="23"/>
  <c r="BE101" i="23"/>
  <c r="BE102" i="23"/>
  <c r="BE103" i="23"/>
  <c r="BE104" i="23"/>
  <c r="BE105" i="23"/>
  <c r="BE106" i="23"/>
  <c r="BE107" i="23"/>
  <c r="BE108" i="23"/>
  <c r="BE109" i="23"/>
  <c r="BE110" i="23"/>
  <c r="BE111" i="23"/>
  <c r="BE112" i="23"/>
  <c r="BE113" i="23"/>
  <c r="BE114" i="23"/>
  <c r="BE115" i="23"/>
  <c r="BE116" i="23"/>
  <c r="BE117" i="23"/>
  <c r="BE118" i="23"/>
  <c r="BE119" i="23"/>
  <c r="BE120" i="23"/>
  <c r="BE121" i="23"/>
  <c r="BE122" i="23"/>
  <c r="BE123" i="23"/>
  <c r="BE124" i="23"/>
  <c r="BE125" i="23"/>
  <c r="BE126" i="23"/>
  <c r="BE127" i="23"/>
  <c r="BE128" i="23"/>
  <c r="BE129" i="23"/>
  <c r="BE130" i="23"/>
  <c r="BE131" i="23"/>
  <c r="BE132" i="23"/>
  <c r="BE133" i="23"/>
  <c r="BE134" i="23"/>
  <c r="BE135" i="23"/>
  <c r="BE136" i="23"/>
  <c r="BE137" i="23"/>
  <c r="BE138" i="23"/>
  <c r="BE139" i="23"/>
  <c r="BE140" i="23"/>
  <c r="BE141" i="23"/>
  <c r="BE142" i="23"/>
  <c r="BE143" i="23"/>
  <c r="BE144" i="23"/>
  <c r="BE145" i="23"/>
  <c r="BE146" i="23"/>
  <c r="BE147" i="23"/>
  <c r="BE148" i="23"/>
  <c r="BE149" i="23"/>
  <c r="BE150" i="23"/>
  <c r="BE151" i="23"/>
  <c r="BE152" i="23"/>
  <c r="BE153" i="23"/>
  <c r="BE154" i="23"/>
  <c r="BE155" i="23"/>
  <c r="BE156" i="23"/>
  <c r="BE157" i="23"/>
  <c r="BE158" i="23"/>
  <c r="BE159" i="23"/>
  <c r="BE160" i="23"/>
  <c r="BE161" i="23"/>
  <c r="BE162" i="23"/>
  <c r="BE163" i="23"/>
  <c r="BE164" i="23"/>
  <c r="BE165" i="23"/>
  <c r="BE166" i="23"/>
  <c r="BE167" i="23"/>
  <c r="BE168" i="23"/>
  <c r="BE169" i="23"/>
  <c r="BE170" i="23"/>
  <c r="BE171" i="23"/>
  <c r="BE172" i="23"/>
  <c r="BE173" i="23"/>
  <c r="BE174" i="23"/>
  <c r="BE175" i="23"/>
  <c r="BE176" i="23"/>
  <c r="BE177" i="23"/>
  <c r="BE178" i="23"/>
  <c r="BE179" i="23"/>
  <c r="BE180" i="23"/>
  <c r="BE181" i="23"/>
  <c r="BE182" i="23"/>
  <c r="BE183" i="23"/>
  <c r="BE184" i="23"/>
  <c r="BE185" i="23"/>
  <c r="BE186" i="23"/>
  <c r="BE187" i="23"/>
  <c r="BE188" i="23"/>
  <c r="BE189" i="23"/>
  <c r="BE191" i="23"/>
  <c r="BE192" i="23"/>
  <c r="BE193" i="23"/>
  <c r="BE195" i="23"/>
  <c r="BE196" i="23"/>
  <c r="BE197" i="23"/>
  <c r="BE1" i="23"/>
  <c r="BE2" i="23"/>
  <c r="AC197" i="23"/>
  <c r="AC192" i="23"/>
  <c r="AC191" i="23"/>
  <c r="AC189" i="23"/>
  <c r="AC188" i="23"/>
  <c r="AC187" i="23"/>
  <c r="AC186" i="23"/>
  <c r="AC185" i="23"/>
  <c r="AC183" i="23"/>
  <c r="AC181" i="23"/>
  <c r="AC180" i="23"/>
  <c r="AC179" i="23"/>
  <c r="AC178" i="23"/>
  <c r="AC177" i="23"/>
  <c r="AC176" i="23"/>
  <c r="AC175" i="23"/>
  <c r="AC174" i="23"/>
  <c r="AC173" i="23"/>
  <c r="AC172" i="23"/>
  <c r="AC171" i="23"/>
  <c r="AC170" i="23"/>
  <c r="AC169" i="23"/>
  <c r="AC168" i="23"/>
  <c r="AC167" i="23"/>
  <c r="AC166" i="23"/>
  <c r="AC165" i="23"/>
  <c r="AC164" i="23"/>
  <c r="AC163" i="23"/>
  <c r="AC162" i="23"/>
  <c r="AC161" i="23"/>
  <c r="AC160" i="23"/>
  <c r="AC158" i="23"/>
  <c r="AC157" i="23"/>
  <c r="AC156" i="23"/>
  <c r="AC155" i="23"/>
  <c r="AC154" i="23"/>
  <c r="AC153" i="23"/>
  <c r="AC151" i="23"/>
  <c r="AC150" i="23"/>
  <c r="AC148" i="23"/>
  <c r="AC147" i="23"/>
  <c r="AC146" i="23"/>
  <c r="AC145" i="23"/>
  <c r="AC144" i="23"/>
  <c r="AC143" i="23"/>
  <c r="AC142" i="23"/>
  <c r="AC141" i="23"/>
  <c r="AC140" i="23"/>
  <c r="AC139" i="23"/>
  <c r="AC138" i="23"/>
  <c r="AC137" i="23"/>
  <c r="AC136" i="23"/>
  <c r="AC133" i="23"/>
  <c r="AC132" i="23"/>
  <c r="AC131" i="23"/>
  <c r="AC130" i="23"/>
  <c r="AC129" i="23"/>
  <c r="AC128" i="23"/>
  <c r="AC127" i="23"/>
  <c r="AC126" i="23"/>
  <c r="AC125" i="23"/>
  <c r="AC124" i="23"/>
  <c r="AC123" i="23"/>
  <c r="AC122" i="23"/>
  <c r="AC121" i="23"/>
  <c r="AC120" i="23"/>
  <c r="AC119" i="23"/>
  <c r="AC118" i="23"/>
  <c r="AC117" i="23"/>
  <c r="AC116" i="23"/>
  <c r="AC115" i="23"/>
  <c r="AC114" i="23"/>
  <c r="AC113" i="23"/>
  <c r="AC112" i="23"/>
  <c r="AC111" i="23"/>
  <c r="AC110" i="23"/>
  <c r="AC108" i="23"/>
  <c r="AC107" i="23"/>
  <c r="AC106" i="23"/>
  <c r="AC105" i="23"/>
  <c r="AC102" i="23"/>
  <c r="AC100" i="23"/>
  <c r="AC98" i="23"/>
  <c r="AC97" i="23"/>
  <c r="AC96" i="23"/>
  <c r="AC95" i="23"/>
  <c r="AC94" i="23"/>
  <c r="AC93" i="23"/>
  <c r="AC92" i="23"/>
  <c r="AC91" i="23"/>
  <c r="AC90" i="23"/>
  <c r="AC88" i="23"/>
  <c r="AC87" i="23"/>
  <c r="AC86" i="23"/>
  <c r="AC85" i="23"/>
  <c r="AC84" i="23"/>
  <c r="AC81" i="23"/>
  <c r="AC80" i="23"/>
  <c r="AC79" i="23"/>
  <c r="AC78" i="23"/>
  <c r="AC77" i="23"/>
  <c r="AC76" i="23"/>
  <c r="AC75" i="23"/>
  <c r="AC74" i="23"/>
  <c r="AC73" i="23"/>
  <c r="AC72" i="23"/>
  <c r="AC71" i="23"/>
  <c r="AC70" i="23"/>
  <c r="AC69" i="23"/>
  <c r="AC67" i="23"/>
  <c r="AC65" i="23"/>
  <c r="AC64" i="23"/>
  <c r="AC63" i="23"/>
  <c r="AC62" i="23"/>
  <c r="AC61" i="23"/>
  <c r="AC60" i="23"/>
  <c r="AC58" i="23"/>
  <c r="AC57" i="23"/>
  <c r="AC55" i="23"/>
  <c r="AC54" i="23"/>
  <c r="AC53" i="23"/>
  <c r="AC52" i="23"/>
  <c r="AC50" i="23"/>
  <c r="AC49" i="23"/>
  <c r="AC48" i="23"/>
  <c r="AC47" i="23"/>
  <c r="AC46" i="23"/>
  <c r="AC45" i="23"/>
  <c r="AC44" i="23"/>
  <c r="AC42" i="23"/>
  <c r="AC41" i="23"/>
  <c r="AC40" i="23"/>
  <c r="AC39" i="23"/>
  <c r="AC38" i="23"/>
  <c r="AC37" i="23"/>
  <c r="AC34" i="23"/>
  <c r="AC33" i="23"/>
  <c r="AC32" i="23"/>
  <c r="AC31" i="23"/>
  <c r="AC30" i="23"/>
  <c r="AC29" i="23"/>
  <c r="AC28" i="23"/>
  <c r="AC27" i="23"/>
  <c r="AC26" i="23"/>
  <c r="AC25" i="23"/>
  <c r="AC24" i="23"/>
  <c r="AC23" i="23"/>
  <c r="AC22" i="23"/>
  <c r="AC21" i="23"/>
  <c r="AC20" i="23"/>
  <c r="AC19" i="23"/>
  <c r="AC18" i="23"/>
  <c r="AC17" i="23"/>
  <c r="AC13" i="23"/>
  <c r="AC12" i="23"/>
  <c r="AC11" i="23"/>
  <c r="AC10" i="23"/>
  <c r="AC9" i="23"/>
  <c r="AC4" i="23"/>
  <c r="AC3" i="23"/>
  <c r="AC2" i="23"/>
  <c r="AC66" i="23"/>
  <c r="BA197" i="23"/>
  <c r="BA196" i="23"/>
  <c r="BA195" i="23"/>
  <c r="BA194" i="23"/>
  <c r="BE194" i="23" s="1"/>
  <c r="BA193" i="23"/>
  <c r="BA192" i="23"/>
  <c r="BA191" i="23"/>
  <c r="BA190" i="23"/>
  <c r="BE190" i="23" s="1"/>
  <c r="BA189" i="23"/>
  <c r="BA188" i="23"/>
  <c r="BA187" i="23"/>
  <c r="BA186" i="23"/>
  <c r="BA185" i="23"/>
  <c r="BA184" i="23"/>
  <c r="BA183" i="23"/>
  <c r="BA182" i="23"/>
  <c r="BA181" i="23"/>
  <c r="BA180" i="23"/>
  <c r="BA179" i="23"/>
  <c r="BA178" i="23"/>
  <c r="BA177" i="23"/>
  <c r="BA176" i="23"/>
  <c r="BA175" i="23"/>
  <c r="BA174" i="23"/>
  <c r="BA173" i="23"/>
  <c r="BA172" i="23"/>
  <c r="BA171" i="23"/>
  <c r="BA170" i="23"/>
  <c r="BA169" i="23"/>
  <c r="BA168" i="23"/>
  <c r="BA167" i="23"/>
  <c r="BA166" i="23"/>
  <c r="BA165" i="23"/>
  <c r="BA164" i="23"/>
  <c r="BA163" i="23"/>
  <c r="BA162" i="23"/>
  <c r="BA161" i="23"/>
  <c r="BA160" i="23"/>
  <c r="BA159" i="23"/>
  <c r="BA158" i="23"/>
  <c r="BA157" i="23"/>
  <c r="BA156" i="23"/>
  <c r="BA155" i="23"/>
  <c r="BA154" i="23"/>
  <c r="BA153" i="23"/>
  <c r="BA152" i="23"/>
  <c r="BA151" i="23"/>
  <c r="BA150" i="23"/>
  <c r="BA149" i="23"/>
  <c r="BA148" i="23"/>
  <c r="BA147" i="23"/>
  <c r="BA146" i="23"/>
  <c r="BA145" i="23"/>
  <c r="BA144" i="23"/>
  <c r="BA143" i="23"/>
  <c r="BA142" i="23"/>
  <c r="BA141" i="23"/>
  <c r="BA140" i="23"/>
  <c r="BA139" i="23"/>
  <c r="BA138" i="23"/>
  <c r="BA137" i="23"/>
  <c r="BA136" i="23"/>
  <c r="BA135" i="23"/>
  <c r="BA134" i="23"/>
  <c r="BA133" i="23"/>
  <c r="BA132" i="23"/>
  <c r="BA131" i="23"/>
  <c r="BA130" i="23"/>
  <c r="BA129" i="23"/>
  <c r="BA128" i="23"/>
  <c r="BA127" i="23"/>
  <c r="BA126" i="23"/>
  <c r="BA125" i="23"/>
  <c r="BA124" i="23"/>
  <c r="BA123" i="23"/>
  <c r="BA122" i="23"/>
  <c r="BA121" i="23"/>
  <c r="BA120" i="23"/>
  <c r="BA119" i="23"/>
  <c r="BA118" i="23"/>
  <c r="BA117" i="23"/>
  <c r="BA116" i="23"/>
  <c r="BA115" i="23"/>
  <c r="BA114" i="23"/>
  <c r="BA113" i="23"/>
  <c r="BA112" i="23"/>
  <c r="BA111" i="23"/>
  <c r="BA110" i="23"/>
  <c r="BA109" i="23"/>
  <c r="BA108" i="23"/>
  <c r="BA107" i="23"/>
  <c r="BA106" i="23"/>
  <c r="BA105" i="23"/>
  <c r="BA104" i="23"/>
  <c r="BA103" i="23"/>
  <c r="BA102" i="23"/>
  <c r="BA101" i="23"/>
  <c r="BA100" i="23"/>
  <c r="BA99" i="23"/>
  <c r="BA98" i="23"/>
  <c r="BA97" i="23"/>
  <c r="BA96" i="23"/>
  <c r="BA95" i="23"/>
  <c r="BA94" i="23"/>
  <c r="BA93" i="23"/>
  <c r="BA92" i="23"/>
  <c r="BA91" i="23"/>
  <c r="BA90" i="23"/>
  <c r="BA89" i="23"/>
  <c r="BA88" i="23"/>
  <c r="BA87" i="23"/>
  <c r="BA86" i="23"/>
  <c r="BA85" i="23"/>
  <c r="BA84" i="23"/>
  <c r="BA83" i="23"/>
  <c r="BA82" i="23"/>
  <c r="BA81" i="23"/>
  <c r="BA80" i="23"/>
  <c r="BA79" i="23"/>
  <c r="BA78" i="23"/>
  <c r="BA77" i="23"/>
  <c r="BA76" i="23"/>
  <c r="BA75" i="23"/>
  <c r="BA74" i="23"/>
  <c r="BA73" i="23"/>
  <c r="BA72" i="23"/>
  <c r="BA71" i="23"/>
  <c r="BA70" i="23"/>
  <c r="BA69" i="23"/>
  <c r="BA68" i="23"/>
  <c r="BA67" i="23"/>
  <c r="BA65" i="23"/>
  <c r="BA64" i="23"/>
  <c r="BA63" i="23"/>
  <c r="BA62" i="23"/>
  <c r="BA61" i="23"/>
  <c r="BA60" i="23"/>
  <c r="BA59" i="23"/>
  <c r="BA58" i="23"/>
  <c r="BA57" i="23"/>
  <c r="BA56" i="23"/>
  <c r="BA55" i="23"/>
  <c r="BA54" i="23"/>
  <c r="BA53" i="23"/>
  <c r="BA52" i="23"/>
  <c r="BA51" i="23"/>
  <c r="BA50" i="23"/>
  <c r="BA49" i="23"/>
  <c r="BA48" i="23"/>
  <c r="BA47" i="23"/>
  <c r="BA46" i="23"/>
  <c r="BA45" i="23"/>
  <c r="BA44" i="23"/>
  <c r="BA43" i="23"/>
  <c r="BA42" i="23"/>
  <c r="BA41" i="23"/>
  <c r="BA40" i="23"/>
  <c r="BA39" i="23"/>
  <c r="BA38" i="23"/>
  <c r="BA37" i="23"/>
  <c r="BA36" i="23"/>
  <c r="BA35" i="23"/>
  <c r="BA34" i="23"/>
  <c r="BA33" i="23"/>
  <c r="BA32" i="23"/>
  <c r="BA31" i="23"/>
  <c r="BA30" i="23"/>
  <c r="BA29" i="23"/>
  <c r="BA28" i="23"/>
  <c r="BA27" i="23"/>
  <c r="BA26" i="23"/>
  <c r="BA25" i="23"/>
  <c r="BA24" i="23"/>
  <c r="BA23" i="23"/>
  <c r="BA22" i="23"/>
  <c r="BA21" i="23"/>
  <c r="BA20" i="23"/>
  <c r="BA19" i="23"/>
  <c r="BA18" i="23"/>
  <c r="BA17" i="23"/>
  <c r="BA16" i="23"/>
  <c r="BA15" i="23"/>
  <c r="BA14" i="23"/>
  <c r="BA13" i="23"/>
  <c r="BA12" i="23"/>
  <c r="BA11" i="23"/>
  <c r="BA10" i="23"/>
  <c r="BA9" i="23"/>
  <c r="BA8" i="23"/>
  <c r="BA7" i="23"/>
  <c r="BA6" i="23"/>
  <c r="BA5" i="23"/>
  <c r="BA4" i="23"/>
  <c r="BA3" i="23"/>
  <c r="BA2" i="23"/>
  <c r="BA1" i="23"/>
  <c r="BA66" i="23"/>
  <c r="AK197" i="23"/>
  <c r="AJ197" i="23"/>
  <c r="AI197" i="23"/>
  <c r="AH197" i="23"/>
  <c r="AG197" i="23"/>
  <c r="AF197" i="23"/>
  <c r="AE197" i="23"/>
  <c r="AI196" i="23"/>
  <c r="AH196" i="23"/>
  <c r="AG196" i="23"/>
  <c r="AF196" i="23"/>
  <c r="AE196" i="23"/>
  <c r="AH195" i="23"/>
  <c r="AG195" i="23"/>
  <c r="AF195" i="23"/>
  <c r="AE195" i="23"/>
  <c r="AM194" i="23"/>
  <c r="AL194" i="23"/>
  <c r="AK194" i="23"/>
  <c r="AJ194" i="23"/>
  <c r="AI194" i="23"/>
  <c r="AH194" i="23"/>
  <c r="AG194" i="23"/>
  <c r="AF194" i="23"/>
  <c r="AE194" i="23"/>
  <c r="AH193" i="23"/>
  <c r="AG193" i="23"/>
  <c r="AF193" i="23"/>
  <c r="AE193" i="23"/>
  <c r="AM192" i="23"/>
  <c r="AL192" i="23"/>
  <c r="AK192" i="23"/>
  <c r="AJ192" i="23"/>
  <c r="AI192" i="23"/>
  <c r="AH192" i="23"/>
  <c r="AG192" i="23"/>
  <c r="AF192" i="23"/>
  <c r="AE192" i="23"/>
  <c r="AM191" i="23"/>
  <c r="AL191" i="23"/>
  <c r="AK191" i="23"/>
  <c r="AJ191" i="23"/>
  <c r="AI191" i="23"/>
  <c r="AH191" i="23"/>
  <c r="AG191" i="23"/>
  <c r="AF191" i="23"/>
  <c r="AE191" i="23"/>
  <c r="AN190" i="23"/>
  <c r="AM190" i="23"/>
  <c r="AL190" i="23"/>
  <c r="AK190" i="23"/>
  <c r="AJ190" i="23"/>
  <c r="AI190" i="23"/>
  <c r="AH190" i="23"/>
  <c r="AG190" i="23"/>
  <c r="AF190" i="23"/>
  <c r="AE190" i="23"/>
  <c r="AC190" i="23" s="1"/>
  <c r="AI189" i="23"/>
  <c r="AH189" i="23"/>
  <c r="AG189" i="23"/>
  <c r="AF189" i="23"/>
  <c r="AE189" i="23"/>
  <c r="AK188" i="23"/>
  <c r="AJ188" i="23"/>
  <c r="AI188" i="23"/>
  <c r="AH188" i="23"/>
  <c r="AG188" i="23"/>
  <c r="AF188" i="23"/>
  <c r="AE188" i="23"/>
  <c r="AM187" i="23"/>
  <c r="AL187" i="23"/>
  <c r="AK187" i="23"/>
  <c r="AJ187" i="23"/>
  <c r="AI187" i="23"/>
  <c r="AH187" i="23"/>
  <c r="AG187" i="23"/>
  <c r="AF187" i="23"/>
  <c r="AE187" i="23"/>
  <c r="AN186" i="23"/>
  <c r="AM186" i="23"/>
  <c r="AL186" i="23"/>
  <c r="AK186" i="23"/>
  <c r="AJ186" i="23"/>
  <c r="AI186" i="23"/>
  <c r="AH186" i="23"/>
  <c r="AG186" i="23"/>
  <c r="AF186" i="23"/>
  <c r="AE186" i="23"/>
  <c r="AM185" i="23"/>
  <c r="AL185" i="23"/>
  <c r="AK185" i="23"/>
  <c r="AJ185" i="23"/>
  <c r="AI185" i="23"/>
  <c r="AH185" i="23"/>
  <c r="AG185" i="23"/>
  <c r="AF185" i="23"/>
  <c r="AE185" i="23"/>
  <c r="AH184" i="23"/>
  <c r="AG184" i="23"/>
  <c r="AF184" i="23"/>
  <c r="AE184" i="23"/>
  <c r="AH183" i="23"/>
  <c r="AG183" i="23"/>
  <c r="AF183" i="23"/>
  <c r="AE183" i="23"/>
  <c r="AH182" i="23"/>
  <c r="AG182" i="23"/>
  <c r="AF182" i="23"/>
  <c r="AE182" i="23"/>
  <c r="AN181" i="23"/>
  <c r="AM181" i="23"/>
  <c r="AL181" i="23"/>
  <c r="AK181" i="23"/>
  <c r="AJ181" i="23"/>
  <c r="AI181" i="23"/>
  <c r="AH181" i="23"/>
  <c r="AG181" i="23"/>
  <c r="AF181" i="23"/>
  <c r="AE181" i="23"/>
  <c r="AM180" i="23"/>
  <c r="AL180" i="23"/>
  <c r="AK180" i="23"/>
  <c r="AJ180" i="23"/>
  <c r="AI180" i="23"/>
  <c r="AH180" i="23"/>
  <c r="AG180" i="23"/>
  <c r="AF180" i="23"/>
  <c r="AE180" i="23"/>
  <c r="AK179" i="23"/>
  <c r="AJ179" i="23"/>
  <c r="AI179" i="23"/>
  <c r="AH179" i="23"/>
  <c r="AG179" i="23"/>
  <c r="AF179" i="23"/>
  <c r="AE179" i="23"/>
  <c r="AM178" i="23"/>
  <c r="AL178" i="23"/>
  <c r="AK178" i="23"/>
  <c r="AJ178" i="23"/>
  <c r="AI178" i="23"/>
  <c r="AH178" i="23"/>
  <c r="AG178" i="23"/>
  <c r="AF178" i="23"/>
  <c r="AE178" i="23"/>
  <c r="AN177" i="23"/>
  <c r="AM177" i="23"/>
  <c r="AL177" i="23"/>
  <c r="AK177" i="23"/>
  <c r="AJ177" i="23"/>
  <c r="AI177" i="23"/>
  <c r="AH177" i="23"/>
  <c r="AG177" i="23"/>
  <c r="AF177" i="23"/>
  <c r="AE177" i="23"/>
  <c r="AK176" i="23"/>
  <c r="AJ176" i="23"/>
  <c r="AI176" i="23"/>
  <c r="AH176" i="23"/>
  <c r="AG176" i="23"/>
  <c r="AF176" i="23"/>
  <c r="AE176" i="23"/>
  <c r="AI175" i="23"/>
  <c r="AH175" i="23"/>
  <c r="AG175" i="23"/>
  <c r="AF175" i="23"/>
  <c r="AE175" i="23"/>
  <c r="AN174" i="23"/>
  <c r="AM174" i="23"/>
  <c r="AL174" i="23"/>
  <c r="AK174" i="23"/>
  <c r="AJ174" i="23"/>
  <c r="AI174" i="23"/>
  <c r="AH174" i="23"/>
  <c r="AG174" i="23"/>
  <c r="AF174" i="23"/>
  <c r="AE174" i="23"/>
  <c r="AI173" i="23"/>
  <c r="AH173" i="23"/>
  <c r="AG173" i="23"/>
  <c r="AF173" i="23"/>
  <c r="AE173" i="23"/>
  <c r="AN172" i="23"/>
  <c r="AM172" i="23"/>
  <c r="AL172" i="23"/>
  <c r="AK172" i="23"/>
  <c r="AJ172" i="23"/>
  <c r="AI172" i="23"/>
  <c r="AH172" i="23"/>
  <c r="AG172" i="23"/>
  <c r="AF172" i="23"/>
  <c r="AE172" i="23"/>
  <c r="AM171" i="23"/>
  <c r="AL171" i="23"/>
  <c r="AK171" i="23"/>
  <c r="AJ171" i="23"/>
  <c r="AI171" i="23"/>
  <c r="AH171" i="23"/>
  <c r="AG171" i="23"/>
  <c r="AF171" i="23"/>
  <c r="AE171" i="23"/>
  <c r="AL170" i="23"/>
  <c r="AK170" i="23"/>
  <c r="AJ170" i="23"/>
  <c r="AI170" i="23"/>
  <c r="AH170" i="23"/>
  <c r="AG170" i="23"/>
  <c r="AF170" i="23"/>
  <c r="AE170" i="23"/>
  <c r="AM169" i="23"/>
  <c r="AL169" i="23"/>
  <c r="AK169" i="23"/>
  <c r="AJ169" i="23"/>
  <c r="AI169" i="23"/>
  <c r="AH169" i="23"/>
  <c r="AG169" i="23"/>
  <c r="AF169" i="23"/>
  <c r="AE169" i="23"/>
  <c r="AK168" i="23"/>
  <c r="AJ168" i="23"/>
  <c r="AI168" i="23"/>
  <c r="AH168" i="23"/>
  <c r="AG168" i="23"/>
  <c r="AF168" i="23"/>
  <c r="AE168" i="23"/>
  <c r="AM167" i="23"/>
  <c r="AL167" i="23"/>
  <c r="AK167" i="23"/>
  <c r="AJ167" i="23"/>
  <c r="AI167" i="23"/>
  <c r="AH167" i="23"/>
  <c r="AG167" i="23"/>
  <c r="AF167" i="23"/>
  <c r="AE167" i="23"/>
  <c r="AJ166" i="23"/>
  <c r="AI166" i="23"/>
  <c r="AH166" i="23"/>
  <c r="AG166" i="23"/>
  <c r="AF166" i="23"/>
  <c r="AE166" i="23"/>
  <c r="AH165" i="23"/>
  <c r="AG165" i="23"/>
  <c r="AF165" i="23"/>
  <c r="AE165" i="23"/>
  <c r="AJ164" i="23"/>
  <c r="AI164" i="23"/>
  <c r="AH164" i="23"/>
  <c r="AG164" i="23"/>
  <c r="AF164" i="23"/>
  <c r="AE164" i="23"/>
  <c r="AK163" i="23"/>
  <c r="AJ163" i="23"/>
  <c r="AI163" i="23"/>
  <c r="AH163" i="23"/>
  <c r="AG163" i="23"/>
  <c r="AF163" i="23"/>
  <c r="AE163" i="23"/>
  <c r="AN162" i="23"/>
  <c r="AM162" i="23"/>
  <c r="AL162" i="23"/>
  <c r="AK162" i="23"/>
  <c r="AJ162" i="23"/>
  <c r="AI162" i="23"/>
  <c r="AH162" i="23"/>
  <c r="AG162" i="23"/>
  <c r="AF162" i="23"/>
  <c r="AE162" i="23"/>
  <c r="AK161" i="23"/>
  <c r="AJ161" i="23"/>
  <c r="AI161" i="23"/>
  <c r="AH161" i="23"/>
  <c r="AG161" i="23"/>
  <c r="AF161" i="23"/>
  <c r="AE161" i="23"/>
  <c r="AL160" i="23"/>
  <c r="AK160" i="23"/>
  <c r="AJ160" i="23"/>
  <c r="AI160" i="23"/>
  <c r="AH160" i="23"/>
  <c r="AG160" i="23"/>
  <c r="AF160" i="23"/>
  <c r="AE160" i="23"/>
  <c r="AI159" i="23"/>
  <c r="AH159" i="23"/>
  <c r="AG159" i="23"/>
  <c r="AF159" i="23"/>
  <c r="AE159" i="23"/>
  <c r="AC159" i="23" s="1"/>
  <c r="AK158" i="23"/>
  <c r="AJ158" i="23"/>
  <c r="AI158" i="23"/>
  <c r="AH158" i="23"/>
  <c r="AG158" i="23"/>
  <c r="AF158" i="23"/>
  <c r="AE158" i="23"/>
  <c r="AN157" i="23"/>
  <c r="AM157" i="23"/>
  <c r="AL157" i="23"/>
  <c r="AK157" i="23"/>
  <c r="AJ157" i="23"/>
  <c r="AI157" i="23"/>
  <c r="AH157" i="23"/>
  <c r="AG157" i="23"/>
  <c r="AF157" i="23"/>
  <c r="AE157" i="23"/>
  <c r="AI156" i="23"/>
  <c r="AH156" i="23"/>
  <c r="AG156" i="23"/>
  <c r="AF156" i="23"/>
  <c r="AE156" i="23"/>
  <c r="AL155" i="23"/>
  <c r="AK155" i="23"/>
  <c r="AJ155" i="23"/>
  <c r="AI155" i="23"/>
  <c r="AH155" i="23"/>
  <c r="AG155" i="23"/>
  <c r="AF155" i="23"/>
  <c r="AE155" i="23"/>
  <c r="AH154" i="23"/>
  <c r="AG154" i="23"/>
  <c r="AF154" i="23"/>
  <c r="AE154" i="23"/>
  <c r="AJ153" i="23"/>
  <c r="AI153" i="23"/>
  <c r="AH153" i="23"/>
  <c r="AG153" i="23"/>
  <c r="AF153" i="23"/>
  <c r="AE153" i="23"/>
  <c r="AH152" i="23"/>
  <c r="AG152" i="23"/>
  <c r="AF152" i="23"/>
  <c r="AE152" i="23"/>
  <c r="AI151" i="23"/>
  <c r="AH151" i="23"/>
  <c r="AG151" i="23"/>
  <c r="AF151" i="23"/>
  <c r="AE151" i="23"/>
  <c r="AK150" i="23"/>
  <c r="AJ150" i="23"/>
  <c r="AI150" i="23"/>
  <c r="AH150" i="23"/>
  <c r="AG150" i="23"/>
  <c r="AF150" i="23"/>
  <c r="AE150" i="23"/>
  <c r="AI149" i="23"/>
  <c r="AH149" i="23"/>
  <c r="AG149" i="23"/>
  <c r="AF149" i="23"/>
  <c r="AE149" i="23"/>
  <c r="AM148" i="23"/>
  <c r="AL148" i="23"/>
  <c r="AK148" i="23"/>
  <c r="AJ148" i="23"/>
  <c r="AI148" i="23"/>
  <c r="AH148" i="23"/>
  <c r="AG148" i="23"/>
  <c r="AF148" i="23"/>
  <c r="AE148" i="23"/>
  <c r="AN147" i="23"/>
  <c r="AM147" i="23"/>
  <c r="AL147" i="23"/>
  <c r="AK147" i="23"/>
  <c r="AJ147" i="23"/>
  <c r="AI147" i="23"/>
  <c r="AH147" i="23"/>
  <c r="AG147" i="23"/>
  <c r="AF147" i="23"/>
  <c r="AE147" i="23"/>
  <c r="AI146" i="23"/>
  <c r="AH146" i="23"/>
  <c r="AG146" i="23"/>
  <c r="AF146" i="23"/>
  <c r="AE146" i="23"/>
  <c r="AL145" i="23"/>
  <c r="AK145" i="23"/>
  <c r="AJ145" i="23"/>
  <c r="AI145" i="23"/>
  <c r="AH145" i="23"/>
  <c r="AG145" i="23"/>
  <c r="AF145" i="23"/>
  <c r="AE145" i="23"/>
  <c r="AK144" i="23"/>
  <c r="AJ144" i="23"/>
  <c r="AI144" i="23"/>
  <c r="AH144" i="23"/>
  <c r="AG144" i="23"/>
  <c r="AF144" i="23"/>
  <c r="AE144" i="23"/>
  <c r="AK143" i="23"/>
  <c r="AJ143" i="23"/>
  <c r="AI143" i="23"/>
  <c r="AH143" i="23"/>
  <c r="AG143" i="23"/>
  <c r="AF143" i="23"/>
  <c r="AE143" i="23"/>
  <c r="AN142" i="23"/>
  <c r="AM142" i="23"/>
  <c r="AL142" i="23"/>
  <c r="AK142" i="23"/>
  <c r="AJ142" i="23"/>
  <c r="AI142" i="23"/>
  <c r="AH142" i="23"/>
  <c r="AG142" i="23"/>
  <c r="AF142" i="23"/>
  <c r="AE142" i="23"/>
  <c r="AI141" i="23"/>
  <c r="AH141" i="23"/>
  <c r="AG141" i="23"/>
  <c r="AF141" i="23"/>
  <c r="AE141" i="23"/>
  <c r="AM140" i="23"/>
  <c r="AL140" i="23"/>
  <c r="AK140" i="23"/>
  <c r="AJ140" i="23"/>
  <c r="AI140" i="23"/>
  <c r="AH140" i="23"/>
  <c r="AG140" i="23"/>
  <c r="AF140" i="23"/>
  <c r="AE140" i="23"/>
  <c r="AH139" i="23"/>
  <c r="AG139" i="23"/>
  <c r="AF139" i="23"/>
  <c r="AE139" i="23"/>
  <c r="AN138" i="23"/>
  <c r="AM138" i="23"/>
  <c r="AL138" i="23"/>
  <c r="AK138" i="23"/>
  <c r="AJ138" i="23"/>
  <c r="AI138" i="23"/>
  <c r="AH138" i="23"/>
  <c r="AG138" i="23"/>
  <c r="AF138" i="23"/>
  <c r="AE138" i="23"/>
  <c r="AN137" i="23"/>
  <c r="AM137" i="23"/>
  <c r="AL137" i="23"/>
  <c r="AK137" i="23"/>
  <c r="AJ137" i="23"/>
  <c r="AI137" i="23"/>
  <c r="AH137" i="23"/>
  <c r="AG137" i="23"/>
  <c r="AF137" i="23"/>
  <c r="AE137" i="23"/>
  <c r="AI136" i="23"/>
  <c r="AH136" i="23"/>
  <c r="AG136" i="23"/>
  <c r="AF136" i="23"/>
  <c r="AE136" i="23"/>
  <c r="AH135" i="23"/>
  <c r="AG135" i="23"/>
  <c r="AF135" i="23"/>
  <c r="AE135" i="23"/>
  <c r="AH134" i="23"/>
  <c r="AG134" i="23"/>
  <c r="AF134" i="23"/>
  <c r="AE134" i="23"/>
  <c r="AL133" i="23"/>
  <c r="AK133" i="23"/>
  <c r="AJ133" i="23"/>
  <c r="AI133" i="23"/>
  <c r="AH133" i="23"/>
  <c r="AG133" i="23"/>
  <c r="AF133" i="23"/>
  <c r="AE133" i="23"/>
  <c r="AJ132" i="23"/>
  <c r="AI132" i="23"/>
  <c r="AH132" i="23"/>
  <c r="AG132" i="23"/>
  <c r="AF132" i="23"/>
  <c r="AE132" i="23"/>
  <c r="AL131" i="23"/>
  <c r="AK131" i="23"/>
  <c r="AJ131" i="23"/>
  <c r="AI131" i="23"/>
  <c r="AH131" i="23"/>
  <c r="AG131" i="23"/>
  <c r="AF131" i="23"/>
  <c r="AE131" i="23"/>
  <c r="AM130" i="23"/>
  <c r="AL130" i="23"/>
  <c r="AK130" i="23"/>
  <c r="AJ130" i="23"/>
  <c r="AI130" i="23"/>
  <c r="AH130" i="23"/>
  <c r="AG130" i="23"/>
  <c r="AF130" i="23"/>
  <c r="AE130" i="23"/>
  <c r="AL129" i="23"/>
  <c r="AK129" i="23"/>
  <c r="AJ129" i="23"/>
  <c r="AI129" i="23"/>
  <c r="AH129" i="23"/>
  <c r="AG129" i="23"/>
  <c r="AF129" i="23"/>
  <c r="AE129" i="23"/>
  <c r="AJ128" i="23"/>
  <c r="AI128" i="23"/>
  <c r="AH128" i="23"/>
  <c r="AG128" i="23"/>
  <c r="AF128" i="23"/>
  <c r="AE128" i="23"/>
  <c r="AN127" i="23"/>
  <c r="AM127" i="23"/>
  <c r="AL127" i="23"/>
  <c r="AK127" i="23"/>
  <c r="AJ127" i="23"/>
  <c r="AI127" i="23"/>
  <c r="AH127" i="23"/>
  <c r="AG127" i="23"/>
  <c r="AF127" i="23"/>
  <c r="AE127" i="23"/>
  <c r="AL126" i="23"/>
  <c r="AK126" i="23"/>
  <c r="AJ126" i="23"/>
  <c r="AI126" i="23"/>
  <c r="AH126" i="23"/>
  <c r="AG126" i="23"/>
  <c r="AF126" i="23"/>
  <c r="AE126" i="23"/>
  <c r="AN125" i="23"/>
  <c r="AM125" i="23"/>
  <c r="AL125" i="23"/>
  <c r="AK125" i="23"/>
  <c r="AJ125" i="23"/>
  <c r="AI125" i="23"/>
  <c r="AH125" i="23"/>
  <c r="AG125" i="23"/>
  <c r="AF125" i="23"/>
  <c r="AE125" i="23"/>
  <c r="AM124" i="23"/>
  <c r="AL124" i="23"/>
  <c r="AK124" i="23"/>
  <c r="AJ124" i="23"/>
  <c r="AI124" i="23"/>
  <c r="AH124" i="23"/>
  <c r="AG124" i="23"/>
  <c r="AF124" i="23"/>
  <c r="AE124" i="23"/>
  <c r="AJ123" i="23"/>
  <c r="AI123" i="23"/>
  <c r="AH123" i="23"/>
  <c r="AG123" i="23"/>
  <c r="AF123" i="23"/>
  <c r="AE123" i="23"/>
  <c r="AL122" i="23"/>
  <c r="AK122" i="23"/>
  <c r="AJ122" i="23"/>
  <c r="AI122" i="23"/>
  <c r="AH122" i="23"/>
  <c r="AG122" i="23"/>
  <c r="AF122" i="23"/>
  <c r="AE122" i="23"/>
  <c r="AM121" i="23"/>
  <c r="AL121" i="23"/>
  <c r="AK121" i="23"/>
  <c r="AJ121" i="23"/>
  <c r="AI121" i="23"/>
  <c r="AH121" i="23"/>
  <c r="AG121" i="23"/>
  <c r="AF121" i="23"/>
  <c r="AE121" i="23"/>
  <c r="AK120" i="23"/>
  <c r="AJ120" i="23"/>
  <c r="AI120" i="23"/>
  <c r="AH120" i="23"/>
  <c r="AG120" i="23"/>
  <c r="AF120" i="23"/>
  <c r="AE120" i="23"/>
  <c r="AJ119" i="23"/>
  <c r="AI119" i="23"/>
  <c r="AH119" i="23"/>
  <c r="AG119" i="23"/>
  <c r="AF119" i="23"/>
  <c r="AE119" i="23"/>
  <c r="AJ118" i="23"/>
  <c r="AI118" i="23"/>
  <c r="AH118" i="23"/>
  <c r="AG118" i="23"/>
  <c r="AF118" i="23"/>
  <c r="AE118" i="23"/>
  <c r="AK117" i="23"/>
  <c r="AJ117" i="23"/>
  <c r="AI117" i="23"/>
  <c r="AH117" i="23"/>
  <c r="AG117" i="23"/>
  <c r="AF117" i="23"/>
  <c r="AE117" i="23"/>
  <c r="AN116" i="23"/>
  <c r="AM116" i="23"/>
  <c r="AL116" i="23"/>
  <c r="AK116" i="23"/>
  <c r="AJ116" i="23"/>
  <c r="AI116" i="23"/>
  <c r="AH116" i="23"/>
  <c r="AG116" i="23"/>
  <c r="AF116" i="23"/>
  <c r="AE116" i="23"/>
  <c r="AN115" i="23"/>
  <c r="AM115" i="23"/>
  <c r="AL115" i="23"/>
  <c r="AK115" i="23"/>
  <c r="AJ115" i="23"/>
  <c r="AI115" i="23"/>
  <c r="AH115" i="23"/>
  <c r="AG115" i="23"/>
  <c r="AF115" i="23"/>
  <c r="AE115" i="23"/>
  <c r="AK114" i="23"/>
  <c r="AJ114" i="23"/>
  <c r="AI114" i="23"/>
  <c r="AH114" i="23"/>
  <c r="AG114" i="23"/>
  <c r="AF114" i="23"/>
  <c r="AE114" i="23"/>
  <c r="AL113" i="23"/>
  <c r="AK113" i="23"/>
  <c r="AJ113" i="23"/>
  <c r="AI113" i="23"/>
  <c r="AH113" i="23"/>
  <c r="AG113" i="23"/>
  <c r="AF113" i="23"/>
  <c r="AE113" i="23"/>
  <c r="AI112" i="23"/>
  <c r="AH112" i="23"/>
  <c r="AG112" i="23"/>
  <c r="AF112" i="23"/>
  <c r="AE112" i="23"/>
  <c r="AI111" i="23"/>
  <c r="AH111" i="23"/>
  <c r="AG111" i="23"/>
  <c r="AF111" i="23"/>
  <c r="AE111" i="23"/>
  <c r="AJ110" i="23"/>
  <c r="AI110" i="23"/>
  <c r="AH110" i="23"/>
  <c r="AG110" i="23"/>
  <c r="AF110" i="23"/>
  <c r="AE110" i="23"/>
  <c r="AI109" i="23"/>
  <c r="AH109" i="23"/>
  <c r="AG109" i="23"/>
  <c r="AF109" i="23"/>
  <c r="AE109" i="23"/>
  <c r="AK108" i="23"/>
  <c r="AJ108" i="23"/>
  <c r="AI108" i="23"/>
  <c r="AH108" i="23"/>
  <c r="AG108" i="23"/>
  <c r="AF108" i="23"/>
  <c r="AE108" i="23"/>
  <c r="AJ107" i="23"/>
  <c r="AI107" i="23"/>
  <c r="AH107" i="23"/>
  <c r="AG107" i="23"/>
  <c r="AF107" i="23"/>
  <c r="AE107" i="23"/>
  <c r="AH106" i="23"/>
  <c r="AG106" i="23"/>
  <c r="AF106" i="23"/>
  <c r="AE106" i="23"/>
  <c r="AH105" i="23"/>
  <c r="AG105" i="23"/>
  <c r="AF105" i="23"/>
  <c r="AE105" i="23"/>
  <c r="AI104" i="23"/>
  <c r="AH104" i="23"/>
  <c r="AG104" i="23"/>
  <c r="AF104" i="23"/>
  <c r="AE104" i="23"/>
  <c r="AI103" i="23"/>
  <c r="AH103" i="23"/>
  <c r="AG103" i="23"/>
  <c r="AF103" i="23"/>
  <c r="AE103" i="23"/>
  <c r="AL102" i="23"/>
  <c r="AK102" i="23"/>
  <c r="AJ102" i="23"/>
  <c r="AI102" i="23"/>
  <c r="AH102" i="23"/>
  <c r="AG102" i="23"/>
  <c r="AF102" i="23"/>
  <c r="AE102" i="23"/>
  <c r="AH101" i="23"/>
  <c r="AG101" i="23"/>
  <c r="AF101" i="23"/>
  <c r="AE101" i="23"/>
  <c r="AL100" i="23"/>
  <c r="AK100" i="23"/>
  <c r="AJ100" i="23"/>
  <c r="AI100" i="23"/>
  <c r="AH100" i="23"/>
  <c r="AG100" i="23"/>
  <c r="AF100" i="23"/>
  <c r="AE100" i="23"/>
  <c r="AH99" i="23"/>
  <c r="AG99" i="23"/>
  <c r="AF99" i="23"/>
  <c r="AE99" i="23"/>
  <c r="AI98" i="23"/>
  <c r="AH98" i="23"/>
  <c r="AG98" i="23"/>
  <c r="AF98" i="23"/>
  <c r="AE98" i="23"/>
  <c r="AH97" i="23"/>
  <c r="AG97" i="23"/>
  <c r="AF97" i="23"/>
  <c r="AE97" i="23"/>
  <c r="AM96" i="23"/>
  <c r="AL96" i="23"/>
  <c r="AK96" i="23"/>
  <c r="AJ96" i="23"/>
  <c r="AI96" i="23"/>
  <c r="AH96" i="23"/>
  <c r="AG96" i="23"/>
  <c r="AF96" i="23"/>
  <c r="AE96" i="23"/>
  <c r="AK95" i="23"/>
  <c r="AJ95" i="23"/>
  <c r="AI95" i="23"/>
  <c r="AH95" i="23"/>
  <c r="AG95" i="23"/>
  <c r="AF95" i="23"/>
  <c r="AE95" i="23"/>
  <c r="AL94" i="23"/>
  <c r="AK94" i="23"/>
  <c r="AJ94" i="23"/>
  <c r="AI94" i="23"/>
  <c r="AH94" i="23"/>
  <c r="AG94" i="23"/>
  <c r="AF94" i="23"/>
  <c r="AE94" i="23"/>
  <c r="AN93" i="23"/>
  <c r="AM93" i="23"/>
  <c r="AL93" i="23"/>
  <c r="AK93" i="23"/>
  <c r="AJ93" i="23"/>
  <c r="AI93" i="23"/>
  <c r="AH93" i="23"/>
  <c r="AG93" i="23"/>
  <c r="AF93" i="23"/>
  <c r="AE93" i="23"/>
  <c r="AK92" i="23"/>
  <c r="AJ92" i="23"/>
  <c r="AI92" i="23"/>
  <c r="AH92" i="23"/>
  <c r="AG92" i="23"/>
  <c r="AF92" i="23"/>
  <c r="AE92" i="23"/>
  <c r="AH91" i="23"/>
  <c r="AG91" i="23"/>
  <c r="AF91" i="23"/>
  <c r="AE91" i="23"/>
  <c r="AJ90" i="23"/>
  <c r="AI90" i="23"/>
  <c r="AH90" i="23"/>
  <c r="AG90" i="23"/>
  <c r="AF90" i="23"/>
  <c r="AE90" i="23"/>
  <c r="AH89" i="23"/>
  <c r="AG89" i="23"/>
  <c r="AF89" i="23"/>
  <c r="AE89" i="23"/>
  <c r="AN88" i="23"/>
  <c r="AM88" i="23"/>
  <c r="AL88" i="23"/>
  <c r="AK88" i="23"/>
  <c r="AJ88" i="23"/>
  <c r="AI88" i="23"/>
  <c r="AH88" i="23"/>
  <c r="AG88" i="23"/>
  <c r="AF88" i="23"/>
  <c r="AE88" i="23"/>
  <c r="AM87" i="23"/>
  <c r="AL87" i="23"/>
  <c r="AK87" i="23"/>
  <c r="AJ87" i="23"/>
  <c r="AI87" i="23"/>
  <c r="AH87" i="23"/>
  <c r="AG87" i="23"/>
  <c r="AF87" i="23"/>
  <c r="AE87" i="23"/>
  <c r="AK86" i="23"/>
  <c r="AJ86" i="23"/>
  <c r="AI86" i="23"/>
  <c r="AH86" i="23"/>
  <c r="AG86" i="23"/>
  <c r="AF86" i="23"/>
  <c r="AE86" i="23"/>
  <c r="AM85" i="23"/>
  <c r="AL85" i="23"/>
  <c r="AK85" i="23"/>
  <c r="AJ85" i="23"/>
  <c r="AI85" i="23"/>
  <c r="AH85" i="23"/>
  <c r="AG85" i="23"/>
  <c r="AF85" i="23"/>
  <c r="AE85" i="23"/>
  <c r="AN84" i="23"/>
  <c r="AM84" i="23"/>
  <c r="AL84" i="23"/>
  <c r="AK84" i="23"/>
  <c r="AJ84" i="23"/>
  <c r="AI84" i="23"/>
  <c r="AH84" i="23"/>
  <c r="AG84" i="23"/>
  <c r="AF84" i="23"/>
  <c r="AE84" i="23"/>
  <c r="AI83" i="23"/>
  <c r="AH83" i="23"/>
  <c r="AG83" i="23"/>
  <c r="AF83" i="23"/>
  <c r="AE83" i="23"/>
  <c r="AH82" i="23"/>
  <c r="AG82" i="23"/>
  <c r="AC82" i="23" s="1"/>
  <c r="AF82" i="23"/>
  <c r="AE82" i="23"/>
  <c r="AJ81" i="23"/>
  <c r="AI81" i="23"/>
  <c r="AH81" i="23"/>
  <c r="AG81" i="23"/>
  <c r="AF81" i="23"/>
  <c r="AE81" i="23"/>
  <c r="AL80" i="23"/>
  <c r="AK80" i="23"/>
  <c r="AJ80" i="23"/>
  <c r="AI80" i="23"/>
  <c r="AH80" i="23"/>
  <c r="AG80" i="23"/>
  <c r="AF80" i="23"/>
  <c r="AE80" i="23"/>
  <c r="AM79" i="23"/>
  <c r="AL79" i="23"/>
  <c r="AK79" i="23"/>
  <c r="AJ79" i="23"/>
  <c r="AI79" i="23"/>
  <c r="AH79" i="23"/>
  <c r="AG79" i="23"/>
  <c r="AF79" i="23"/>
  <c r="AE79" i="23"/>
  <c r="AN78" i="23"/>
  <c r="AM78" i="23"/>
  <c r="AL78" i="23"/>
  <c r="AK78" i="23"/>
  <c r="AJ78" i="23"/>
  <c r="AI78" i="23"/>
  <c r="AH78" i="23"/>
  <c r="AG78" i="23"/>
  <c r="AF78" i="23"/>
  <c r="AE78" i="23"/>
  <c r="AH77" i="23"/>
  <c r="AG77" i="23"/>
  <c r="AF77" i="23"/>
  <c r="AE77" i="23"/>
  <c r="AN76" i="23"/>
  <c r="AM76" i="23"/>
  <c r="AL76" i="23"/>
  <c r="AK76" i="23"/>
  <c r="AJ76" i="23"/>
  <c r="AI76" i="23"/>
  <c r="AH76" i="23"/>
  <c r="AG76" i="23"/>
  <c r="AF76" i="23"/>
  <c r="AE76" i="23"/>
  <c r="AH75" i="23"/>
  <c r="AG75" i="23"/>
  <c r="AF75" i="23"/>
  <c r="AE75" i="23"/>
  <c r="AI74" i="23"/>
  <c r="AH74" i="23"/>
  <c r="AG74" i="23"/>
  <c r="AF74" i="23"/>
  <c r="AE74" i="23"/>
  <c r="AM73" i="23"/>
  <c r="AL73" i="23"/>
  <c r="AK73" i="23"/>
  <c r="AJ73" i="23"/>
  <c r="AI73" i="23"/>
  <c r="AH73" i="23"/>
  <c r="AG73" i="23"/>
  <c r="AF73" i="23"/>
  <c r="AE73" i="23"/>
  <c r="AM72" i="23"/>
  <c r="AL72" i="23"/>
  <c r="AK72" i="23"/>
  <c r="AJ72" i="23"/>
  <c r="AI72" i="23"/>
  <c r="AH72" i="23"/>
  <c r="AG72" i="23"/>
  <c r="AF72" i="23"/>
  <c r="AE72" i="23"/>
  <c r="AK71" i="23"/>
  <c r="AJ71" i="23"/>
  <c r="AI71" i="23"/>
  <c r="AH71" i="23"/>
  <c r="AG71" i="23"/>
  <c r="AF71" i="23"/>
  <c r="AE71" i="23"/>
  <c r="AL70" i="23"/>
  <c r="AK70" i="23"/>
  <c r="AJ70" i="23"/>
  <c r="AI70" i="23"/>
  <c r="AH70" i="23"/>
  <c r="AG70" i="23"/>
  <c r="AF70" i="23"/>
  <c r="AE70" i="23"/>
  <c r="AN69" i="23"/>
  <c r="AM69" i="23"/>
  <c r="AL69" i="23"/>
  <c r="AK69" i="23"/>
  <c r="AJ69" i="23"/>
  <c r="AI69" i="23"/>
  <c r="AH69" i="23"/>
  <c r="AG69" i="23"/>
  <c r="AF69" i="23"/>
  <c r="AE69" i="23"/>
  <c r="AK68" i="23"/>
  <c r="AJ68" i="23"/>
  <c r="AI68" i="23"/>
  <c r="AH68" i="23"/>
  <c r="AG68" i="23"/>
  <c r="AF68" i="23"/>
  <c r="AC68" i="23" s="1"/>
  <c r="AE68" i="23"/>
  <c r="AK67" i="23"/>
  <c r="AJ67" i="23"/>
  <c r="AI67" i="23"/>
  <c r="AH67" i="23"/>
  <c r="AG67" i="23"/>
  <c r="AF67" i="23"/>
  <c r="AE67" i="23"/>
  <c r="AH66" i="23"/>
  <c r="AG66" i="23"/>
  <c r="AF66" i="23"/>
  <c r="AE66" i="23"/>
  <c r="AL65" i="23"/>
  <c r="AK65" i="23"/>
  <c r="AJ65" i="23"/>
  <c r="AI65" i="23"/>
  <c r="AH65" i="23"/>
  <c r="AG65" i="23"/>
  <c r="AF65" i="23"/>
  <c r="AE65" i="23"/>
  <c r="AJ64" i="23"/>
  <c r="AI64" i="23"/>
  <c r="AH64" i="23"/>
  <c r="AG64" i="23"/>
  <c r="AF64" i="23"/>
  <c r="AE64" i="23"/>
  <c r="AJ63" i="23"/>
  <c r="AI63" i="23"/>
  <c r="AH63" i="23"/>
  <c r="AG63" i="23"/>
  <c r="AF63" i="23"/>
  <c r="AE63" i="23"/>
  <c r="AK62" i="23"/>
  <c r="AJ62" i="23"/>
  <c r="AI62" i="23"/>
  <c r="AH62" i="23"/>
  <c r="AG62" i="23"/>
  <c r="AF62" i="23"/>
  <c r="AE62" i="23"/>
  <c r="AM61" i="23"/>
  <c r="AL61" i="23"/>
  <c r="AK61" i="23"/>
  <c r="AJ61" i="23"/>
  <c r="AI61" i="23"/>
  <c r="AH61" i="23"/>
  <c r="AG61" i="23"/>
  <c r="AF61" i="23"/>
  <c r="AE61" i="23"/>
  <c r="AI60" i="23"/>
  <c r="AH60" i="23"/>
  <c r="AG60" i="23"/>
  <c r="AF60" i="23"/>
  <c r="AE60" i="23"/>
  <c r="AH59" i="23"/>
  <c r="AG59" i="23"/>
  <c r="AF59" i="23"/>
  <c r="AE59" i="23"/>
  <c r="AL58" i="23"/>
  <c r="AK58" i="23"/>
  <c r="AJ58" i="23"/>
  <c r="AI58" i="23"/>
  <c r="AH58" i="23"/>
  <c r="AG58" i="23"/>
  <c r="AF58" i="23"/>
  <c r="AE58" i="23"/>
  <c r="AM57" i="23"/>
  <c r="AL57" i="23"/>
  <c r="AK57" i="23"/>
  <c r="AJ57" i="23"/>
  <c r="AI57" i="23"/>
  <c r="AH57" i="23"/>
  <c r="AG57" i="23"/>
  <c r="AF57" i="23"/>
  <c r="AE57" i="23"/>
  <c r="AH56" i="23"/>
  <c r="AG56" i="23"/>
  <c r="AF56" i="23"/>
  <c r="AE56" i="23"/>
  <c r="AN55" i="23"/>
  <c r="AM55" i="23"/>
  <c r="AL55" i="23"/>
  <c r="AK55" i="23"/>
  <c r="AJ55" i="23"/>
  <c r="AI55" i="23"/>
  <c r="AH55" i="23"/>
  <c r="AG55" i="23"/>
  <c r="AF55" i="23"/>
  <c r="AE55" i="23"/>
  <c r="AI54" i="23"/>
  <c r="AH54" i="23"/>
  <c r="AG54" i="23"/>
  <c r="AF54" i="23"/>
  <c r="AE54" i="23"/>
  <c r="AN53" i="23"/>
  <c r="AM53" i="23"/>
  <c r="AL53" i="23"/>
  <c r="AK53" i="23"/>
  <c r="AJ53" i="23"/>
  <c r="AI53" i="23"/>
  <c r="AH53" i="23"/>
  <c r="AG53" i="23"/>
  <c r="AF53" i="23"/>
  <c r="AE53" i="23"/>
  <c r="AK52" i="23"/>
  <c r="AJ52" i="23"/>
  <c r="AI52" i="23"/>
  <c r="AH52" i="23"/>
  <c r="AG52" i="23"/>
  <c r="AF52" i="23"/>
  <c r="AE52" i="23"/>
  <c r="AI51" i="23"/>
  <c r="AH51" i="23"/>
  <c r="AG51" i="23"/>
  <c r="AF51" i="23"/>
  <c r="AE51" i="23"/>
  <c r="AM50" i="23"/>
  <c r="AL50" i="23"/>
  <c r="AK50" i="23"/>
  <c r="AJ50" i="23"/>
  <c r="AI50" i="23"/>
  <c r="AH50" i="23"/>
  <c r="AG50" i="23"/>
  <c r="AF50" i="23"/>
  <c r="AE50" i="23"/>
  <c r="AK49" i="23"/>
  <c r="AJ49" i="23"/>
  <c r="AI49" i="23"/>
  <c r="AH49" i="23"/>
  <c r="AG49" i="23"/>
  <c r="AF49" i="23"/>
  <c r="AE49" i="23"/>
  <c r="AL48" i="23"/>
  <c r="AK48" i="23"/>
  <c r="AJ48" i="23"/>
  <c r="AI48" i="23"/>
  <c r="AH48" i="23"/>
  <c r="AG48" i="23"/>
  <c r="AF48" i="23"/>
  <c r="AE48" i="23"/>
  <c r="AK47" i="23"/>
  <c r="AJ47" i="23"/>
  <c r="AI47" i="23"/>
  <c r="AH47" i="23"/>
  <c r="AG47" i="23"/>
  <c r="AF47" i="23"/>
  <c r="AE47" i="23"/>
  <c r="AI46" i="23"/>
  <c r="AH46" i="23"/>
  <c r="AG46" i="23"/>
  <c r="AF46" i="23"/>
  <c r="AE46" i="23"/>
  <c r="AI45" i="23"/>
  <c r="AH45" i="23"/>
  <c r="AG45" i="23"/>
  <c r="AF45" i="23"/>
  <c r="AE45" i="23"/>
  <c r="AM44" i="23"/>
  <c r="AL44" i="23"/>
  <c r="AK44" i="23"/>
  <c r="AJ44" i="23"/>
  <c r="AI44" i="23"/>
  <c r="AH44" i="23"/>
  <c r="AG44" i="23"/>
  <c r="AF44" i="23"/>
  <c r="AE44" i="23"/>
  <c r="AI43" i="23"/>
  <c r="AH43" i="23"/>
  <c r="AG43" i="23"/>
  <c r="AF43" i="23"/>
  <c r="AE43" i="23"/>
  <c r="AN42" i="23"/>
  <c r="AM42" i="23"/>
  <c r="AL42" i="23"/>
  <c r="AK42" i="23"/>
  <c r="AJ42" i="23"/>
  <c r="AI42" i="23"/>
  <c r="AH42" i="23"/>
  <c r="AG42" i="23"/>
  <c r="AF42" i="23"/>
  <c r="AE42" i="23"/>
  <c r="AI41" i="23"/>
  <c r="AH41" i="23"/>
  <c r="AG41" i="23"/>
  <c r="AF41" i="23"/>
  <c r="AE41" i="23"/>
  <c r="AM40" i="23"/>
  <c r="AL40" i="23"/>
  <c r="AK40" i="23"/>
  <c r="AJ40" i="23"/>
  <c r="AI40" i="23"/>
  <c r="AH40" i="23"/>
  <c r="AG40" i="23"/>
  <c r="AF40" i="23"/>
  <c r="AE40" i="23"/>
  <c r="AJ39" i="23"/>
  <c r="AI39" i="23"/>
  <c r="AH39" i="23"/>
  <c r="AG39" i="23"/>
  <c r="AF39" i="23"/>
  <c r="AE39" i="23"/>
  <c r="AI38" i="23"/>
  <c r="AH38" i="23"/>
  <c r="AG38" i="23"/>
  <c r="AF38" i="23"/>
  <c r="AE38" i="23"/>
  <c r="AJ37" i="23"/>
  <c r="AI37" i="23"/>
  <c r="AH37" i="23"/>
  <c r="AG37" i="23"/>
  <c r="AF37" i="23"/>
  <c r="AE37" i="23"/>
  <c r="AH36" i="23"/>
  <c r="AG36" i="23"/>
  <c r="AF36" i="23"/>
  <c r="AE36" i="23"/>
  <c r="AH35" i="23"/>
  <c r="AG35" i="23"/>
  <c r="AF35" i="23"/>
  <c r="AE35" i="23"/>
  <c r="AL34" i="23"/>
  <c r="AK34" i="23"/>
  <c r="AJ34" i="23"/>
  <c r="AI34" i="23"/>
  <c r="AH34" i="23"/>
  <c r="AG34" i="23"/>
  <c r="AF34" i="23"/>
  <c r="AE34" i="23"/>
  <c r="AL33" i="23"/>
  <c r="AK33" i="23"/>
  <c r="AJ33" i="23"/>
  <c r="AI33" i="23"/>
  <c r="AH33" i="23"/>
  <c r="AG33" i="23"/>
  <c r="AF33" i="23"/>
  <c r="AE33" i="23"/>
  <c r="AL32" i="23"/>
  <c r="AK32" i="23"/>
  <c r="AJ32" i="23"/>
  <c r="AI32" i="23"/>
  <c r="AH32" i="23"/>
  <c r="AG32" i="23"/>
  <c r="AF32" i="23"/>
  <c r="AE32" i="23"/>
  <c r="AL31" i="23"/>
  <c r="AK31" i="23"/>
  <c r="AJ31" i="23"/>
  <c r="AI31" i="23"/>
  <c r="AH31" i="23"/>
  <c r="AG31" i="23"/>
  <c r="AF31" i="23"/>
  <c r="AE31" i="23"/>
  <c r="AJ30" i="23"/>
  <c r="AI30" i="23"/>
  <c r="AH30" i="23"/>
  <c r="AG30" i="23"/>
  <c r="AF30" i="23"/>
  <c r="AE30" i="23"/>
  <c r="AJ29" i="23"/>
  <c r="AI29" i="23"/>
  <c r="AH29" i="23"/>
  <c r="AG29" i="23"/>
  <c r="AF29" i="23"/>
  <c r="AE29" i="23"/>
  <c r="AN28" i="23"/>
  <c r="AM28" i="23"/>
  <c r="AL28" i="23"/>
  <c r="AK28" i="23"/>
  <c r="AJ28" i="23"/>
  <c r="AI28" i="23"/>
  <c r="AH28" i="23"/>
  <c r="AG28" i="23"/>
  <c r="AF28" i="23"/>
  <c r="AE28" i="23"/>
  <c r="AL27" i="23"/>
  <c r="AK27" i="23"/>
  <c r="AJ27" i="23"/>
  <c r="AI27" i="23"/>
  <c r="AH27" i="23"/>
  <c r="AG27" i="23"/>
  <c r="AF27" i="23"/>
  <c r="AE27" i="23"/>
  <c r="AJ26" i="23"/>
  <c r="AI26" i="23"/>
  <c r="AH26" i="23"/>
  <c r="AG26" i="23"/>
  <c r="AF26" i="23"/>
  <c r="AE26" i="23"/>
  <c r="AK25" i="23"/>
  <c r="AJ25" i="23"/>
  <c r="AI25" i="23"/>
  <c r="AH25" i="23"/>
  <c r="AG25" i="23"/>
  <c r="AF25" i="23"/>
  <c r="AE25" i="23"/>
  <c r="AM24" i="23"/>
  <c r="AL24" i="23"/>
  <c r="AK24" i="23"/>
  <c r="AJ24" i="23"/>
  <c r="AI24" i="23"/>
  <c r="AH24" i="23"/>
  <c r="AG24" i="23"/>
  <c r="AF24" i="23"/>
  <c r="AE24" i="23"/>
  <c r="AL23" i="23"/>
  <c r="AK23" i="23"/>
  <c r="AJ23" i="23"/>
  <c r="AI23" i="23"/>
  <c r="AH23" i="23"/>
  <c r="AG23" i="23"/>
  <c r="AF23" i="23"/>
  <c r="AE23" i="23"/>
  <c r="AJ22" i="23"/>
  <c r="AI22" i="23"/>
  <c r="AH22" i="23"/>
  <c r="AG22" i="23"/>
  <c r="AF22" i="23"/>
  <c r="AE22" i="23"/>
  <c r="AI21" i="23"/>
  <c r="AH21" i="23"/>
  <c r="AG21" i="23"/>
  <c r="AF21" i="23"/>
  <c r="AE21" i="23"/>
  <c r="AI20" i="23"/>
  <c r="AH20" i="23"/>
  <c r="AG20" i="23"/>
  <c r="AF20" i="23"/>
  <c r="AE20" i="23"/>
  <c r="AL19" i="23"/>
  <c r="AK19" i="23"/>
  <c r="AJ19" i="23"/>
  <c r="AI19" i="23"/>
  <c r="AH19" i="23"/>
  <c r="AG19" i="23"/>
  <c r="AF19" i="23"/>
  <c r="AE19" i="23"/>
  <c r="AJ18" i="23"/>
  <c r="AI18" i="23"/>
  <c r="AH18" i="23"/>
  <c r="AG18" i="23"/>
  <c r="AF18" i="23"/>
  <c r="AE18" i="23"/>
  <c r="AK17" i="23"/>
  <c r="AJ17" i="23"/>
  <c r="AI17" i="23"/>
  <c r="AH17" i="23"/>
  <c r="AG17" i="23"/>
  <c r="AF17" i="23"/>
  <c r="AE17" i="23"/>
  <c r="AJ16" i="23"/>
  <c r="AI16" i="23"/>
  <c r="AH16" i="23"/>
  <c r="AG16" i="23"/>
  <c r="AF16" i="23"/>
  <c r="AE16" i="23"/>
  <c r="AI15" i="23"/>
  <c r="AH15" i="23"/>
  <c r="AG15" i="23"/>
  <c r="AF15" i="23"/>
  <c r="AE15" i="23"/>
  <c r="AI14" i="23"/>
  <c r="AH14" i="23"/>
  <c r="AG14" i="23"/>
  <c r="AF14" i="23"/>
  <c r="AE14" i="23"/>
  <c r="AN13" i="23"/>
  <c r="AM13" i="23"/>
  <c r="AL13" i="23"/>
  <c r="AK13" i="23"/>
  <c r="AJ13" i="23"/>
  <c r="AI13" i="23"/>
  <c r="AH13" i="23"/>
  <c r="AG13" i="23"/>
  <c r="AF13" i="23"/>
  <c r="AE13" i="23"/>
  <c r="AK12" i="23"/>
  <c r="AJ12" i="23"/>
  <c r="AI12" i="23"/>
  <c r="AH12" i="23"/>
  <c r="AG12" i="23"/>
  <c r="AF12" i="23"/>
  <c r="AE12" i="23"/>
  <c r="AM11" i="23"/>
  <c r="AL11" i="23"/>
  <c r="AK11" i="23"/>
  <c r="AJ11" i="23"/>
  <c r="AI11" i="23"/>
  <c r="AH11" i="23"/>
  <c r="AG11" i="23"/>
  <c r="AF11" i="23"/>
  <c r="AE11" i="23"/>
  <c r="AN10" i="23"/>
  <c r="AM10" i="23"/>
  <c r="AL10" i="23"/>
  <c r="AK10" i="23"/>
  <c r="AJ10" i="23"/>
  <c r="AI10" i="23"/>
  <c r="AH10" i="23"/>
  <c r="AG10" i="23"/>
  <c r="AF10" i="23"/>
  <c r="AE10" i="23"/>
  <c r="AN9" i="23"/>
  <c r="AM9" i="23"/>
  <c r="AL9" i="23"/>
  <c r="AK9" i="23"/>
  <c r="AJ9" i="23"/>
  <c r="AI9" i="23"/>
  <c r="AH9" i="23"/>
  <c r="AG9" i="23"/>
  <c r="AF9" i="23"/>
  <c r="AE9" i="23"/>
  <c r="AH8" i="23"/>
  <c r="AG8" i="23"/>
  <c r="AF8" i="23"/>
  <c r="AE8" i="23"/>
  <c r="AK7" i="23"/>
  <c r="AJ7" i="23"/>
  <c r="AI7" i="23"/>
  <c r="AH7" i="23"/>
  <c r="AG7" i="23"/>
  <c r="AF7" i="23"/>
  <c r="AE7" i="23"/>
  <c r="AI6" i="23"/>
  <c r="AH6" i="23"/>
  <c r="AG6" i="23"/>
  <c r="AF6" i="23"/>
  <c r="AE6" i="23"/>
  <c r="AH5" i="23"/>
  <c r="AG5" i="23"/>
  <c r="AF5" i="23"/>
  <c r="AC5" i="23" s="1"/>
  <c r="AE5" i="23"/>
  <c r="AJ4" i="23"/>
  <c r="AI4" i="23"/>
  <c r="AH4" i="23"/>
  <c r="AG4" i="23"/>
  <c r="AF4" i="23"/>
  <c r="AE4" i="23"/>
  <c r="AH3" i="23"/>
  <c r="AG3" i="23"/>
  <c r="AF3" i="23"/>
  <c r="AE3" i="23"/>
  <c r="AK2" i="23"/>
  <c r="AJ2" i="23"/>
  <c r="AI2" i="23"/>
  <c r="AH2" i="23"/>
  <c r="AG2" i="23"/>
  <c r="AF2" i="23"/>
  <c r="AE2" i="23"/>
  <c r="AJ1" i="23"/>
  <c r="AI1" i="23"/>
  <c r="AH1" i="23"/>
  <c r="AG1" i="23"/>
  <c r="AF1" i="23"/>
  <c r="AE1" i="23"/>
  <c r="AG1" i="22"/>
  <c r="AH1" i="22"/>
  <c r="AI1" i="22"/>
  <c r="AJ1" i="22"/>
  <c r="AK1" i="22"/>
  <c r="AL1" i="22"/>
  <c r="AG2" i="22"/>
  <c r="AH2" i="22"/>
  <c r="AI2" i="22"/>
  <c r="AJ2" i="22"/>
  <c r="AK2" i="22"/>
  <c r="AL2" i="22"/>
  <c r="AM2" i="22"/>
  <c r="AG3" i="22"/>
  <c r="AH3" i="22"/>
  <c r="AI3" i="22"/>
  <c r="AJ3" i="22"/>
  <c r="AG4" i="22"/>
  <c r="AH4" i="22"/>
  <c r="AI4" i="22"/>
  <c r="AJ4" i="22"/>
  <c r="AK4" i="22"/>
  <c r="AL4" i="22"/>
  <c r="AG5" i="22"/>
  <c r="AH5" i="22"/>
  <c r="AI5" i="22"/>
  <c r="AJ5" i="22"/>
  <c r="AG6" i="22"/>
  <c r="AH6" i="22"/>
  <c r="AI6" i="22"/>
  <c r="AJ6" i="22"/>
  <c r="AK6" i="22"/>
  <c r="AG7" i="22"/>
  <c r="AH7" i="22"/>
  <c r="AI7" i="22"/>
  <c r="AJ7" i="22"/>
  <c r="AK7" i="22"/>
  <c r="AL7" i="22"/>
  <c r="AM7" i="22"/>
  <c r="AG8" i="22"/>
  <c r="AH8" i="22"/>
  <c r="AI8" i="22"/>
  <c r="AJ8" i="22"/>
  <c r="AG9" i="22"/>
  <c r="AH9" i="22"/>
  <c r="AI9" i="22"/>
  <c r="AJ9" i="22"/>
  <c r="AK9" i="22"/>
  <c r="AL9" i="22"/>
  <c r="AM9" i="22"/>
  <c r="AN9" i="22"/>
  <c r="AO9" i="22"/>
  <c r="AP9" i="22"/>
  <c r="AG10" i="22"/>
  <c r="AH10" i="22"/>
  <c r="AI10" i="22"/>
  <c r="AJ10" i="22"/>
  <c r="AK10" i="22"/>
  <c r="AL10" i="22"/>
  <c r="AM10" i="22"/>
  <c r="AN10" i="22"/>
  <c r="AO10" i="22"/>
  <c r="AP10" i="22"/>
  <c r="AG11" i="22"/>
  <c r="AH11" i="22"/>
  <c r="AI11" i="22"/>
  <c r="AJ11" i="22"/>
  <c r="AK11" i="22"/>
  <c r="AL11" i="22"/>
  <c r="AM11" i="22"/>
  <c r="AN11" i="22"/>
  <c r="AO11" i="22"/>
  <c r="AG12" i="22"/>
  <c r="AH12" i="22"/>
  <c r="AI12" i="22"/>
  <c r="AJ12" i="22"/>
  <c r="AK12" i="22"/>
  <c r="AL12" i="22"/>
  <c r="AM12" i="22"/>
  <c r="AG13" i="22"/>
  <c r="AH13" i="22"/>
  <c r="AI13" i="22"/>
  <c r="AJ13" i="22"/>
  <c r="AK13" i="22"/>
  <c r="AL13" i="22"/>
  <c r="AM13" i="22"/>
  <c r="AN13" i="22"/>
  <c r="AO13" i="22"/>
  <c r="AP13" i="22"/>
  <c r="AG14" i="22"/>
  <c r="AH14" i="22"/>
  <c r="AI14" i="22"/>
  <c r="AJ14" i="22"/>
  <c r="AK14" i="22"/>
  <c r="AG15" i="22"/>
  <c r="AH15" i="22"/>
  <c r="AI15" i="22"/>
  <c r="AJ15" i="22"/>
  <c r="AK15" i="22"/>
  <c r="AG16" i="22"/>
  <c r="AH16" i="22"/>
  <c r="AI16" i="22"/>
  <c r="AJ16" i="22"/>
  <c r="AK16" i="22"/>
  <c r="AL16" i="22"/>
  <c r="AG17" i="22"/>
  <c r="AH17" i="22"/>
  <c r="AI17" i="22"/>
  <c r="AJ17" i="22"/>
  <c r="AK17" i="22"/>
  <c r="AL17" i="22"/>
  <c r="AM17" i="22"/>
  <c r="AG18" i="22"/>
  <c r="AH18" i="22"/>
  <c r="AI18" i="22"/>
  <c r="AJ18" i="22"/>
  <c r="AK18" i="22"/>
  <c r="AL18" i="22"/>
  <c r="AG19" i="22"/>
  <c r="AH19" i="22"/>
  <c r="AI19" i="22"/>
  <c r="AJ19" i="22"/>
  <c r="AK19" i="22"/>
  <c r="AL19" i="22"/>
  <c r="AM19" i="22"/>
  <c r="AN19" i="22"/>
  <c r="AG20" i="22"/>
  <c r="AH20" i="22"/>
  <c r="AI20" i="22"/>
  <c r="AJ20" i="22"/>
  <c r="AK20" i="22"/>
  <c r="AG21" i="22"/>
  <c r="AH21" i="22"/>
  <c r="AI21" i="22"/>
  <c r="AJ21" i="22"/>
  <c r="AK21" i="22"/>
  <c r="AG22" i="22"/>
  <c r="AH22" i="22"/>
  <c r="AI22" i="22"/>
  <c r="AJ22" i="22"/>
  <c r="AK22" i="22"/>
  <c r="AL22" i="22"/>
  <c r="AG23" i="22"/>
  <c r="AH23" i="22"/>
  <c r="AI23" i="22"/>
  <c r="AJ23" i="22"/>
  <c r="AK23" i="22"/>
  <c r="AL23" i="22"/>
  <c r="AM23" i="22"/>
  <c r="AN23" i="22"/>
  <c r="AG24" i="22"/>
  <c r="AH24" i="22"/>
  <c r="AI24" i="22"/>
  <c r="AJ24" i="22"/>
  <c r="AK24" i="22"/>
  <c r="AL24" i="22"/>
  <c r="AM24" i="22"/>
  <c r="AN24" i="22"/>
  <c r="AO24" i="22"/>
  <c r="AG25" i="22"/>
  <c r="AH25" i="22"/>
  <c r="AI25" i="22"/>
  <c r="AJ25" i="22"/>
  <c r="AK25" i="22"/>
  <c r="AL25" i="22"/>
  <c r="AM25" i="22"/>
  <c r="AG26" i="22"/>
  <c r="AH26" i="22"/>
  <c r="AI26" i="22"/>
  <c r="AJ26" i="22"/>
  <c r="AK26" i="22"/>
  <c r="AL26" i="22"/>
  <c r="AG27" i="22"/>
  <c r="AH27" i="22"/>
  <c r="AI27" i="22"/>
  <c r="AJ27" i="22"/>
  <c r="AK27" i="22"/>
  <c r="AL27" i="22"/>
  <c r="AM27" i="22"/>
  <c r="AN27" i="22"/>
  <c r="AG28" i="22"/>
  <c r="AH28" i="22"/>
  <c r="AI28" i="22"/>
  <c r="AJ28" i="22"/>
  <c r="AK28" i="22"/>
  <c r="AL28" i="22"/>
  <c r="AM28" i="22"/>
  <c r="AN28" i="22"/>
  <c r="AO28" i="22"/>
  <c r="AP28" i="22"/>
  <c r="AG29" i="22"/>
  <c r="AH29" i="22"/>
  <c r="AI29" i="22"/>
  <c r="AJ29" i="22"/>
  <c r="AK29" i="22"/>
  <c r="AL29" i="22"/>
  <c r="AG30" i="22"/>
  <c r="AH30" i="22"/>
  <c r="AI30" i="22"/>
  <c r="AJ30" i="22"/>
  <c r="AK30" i="22"/>
  <c r="AL30" i="22"/>
  <c r="AG31" i="22"/>
  <c r="AH31" i="22"/>
  <c r="AI31" i="22"/>
  <c r="AJ31" i="22"/>
  <c r="AK31" i="22"/>
  <c r="AL31" i="22"/>
  <c r="AM31" i="22"/>
  <c r="AN31" i="22"/>
  <c r="AG32" i="22"/>
  <c r="AH32" i="22"/>
  <c r="AI32" i="22"/>
  <c r="AJ32" i="22"/>
  <c r="AK32" i="22"/>
  <c r="AL32" i="22"/>
  <c r="AM32" i="22"/>
  <c r="AN32" i="22"/>
  <c r="AG33" i="22"/>
  <c r="AH33" i="22"/>
  <c r="AI33" i="22"/>
  <c r="AJ33" i="22"/>
  <c r="AK33" i="22"/>
  <c r="AL33" i="22"/>
  <c r="AM33" i="22"/>
  <c r="AN33" i="22"/>
  <c r="AG34" i="22"/>
  <c r="AH34" i="22"/>
  <c r="AI34" i="22"/>
  <c r="AJ34" i="22"/>
  <c r="AK34" i="22"/>
  <c r="AL34" i="22"/>
  <c r="AM34" i="22"/>
  <c r="AN34" i="22"/>
  <c r="AG35" i="22"/>
  <c r="AH35" i="22"/>
  <c r="AI35" i="22"/>
  <c r="AJ35" i="22"/>
  <c r="AG36" i="22"/>
  <c r="AH36" i="22"/>
  <c r="AI36" i="22"/>
  <c r="AJ36" i="22"/>
  <c r="AG37" i="22"/>
  <c r="AH37" i="22"/>
  <c r="AI37" i="22"/>
  <c r="AJ37" i="22"/>
  <c r="AK37" i="22"/>
  <c r="AL37" i="22"/>
  <c r="AG38" i="22"/>
  <c r="AH38" i="22"/>
  <c r="AI38" i="22"/>
  <c r="AJ38" i="22"/>
  <c r="AK38" i="22"/>
  <c r="AG39" i="22"/>
  <c r="AH39" i="22"/>
  <c r="AI39" i="22"/>
  <c r="AJ39" i="22"/>
  <c r="AK39" i="22"/>
  <c r="AL39" i="22"/>
  <c r="AG40" i="22"/>
  <c r="AH40" i="22"/>
  <c r="AI40" i="22"/>
  <c r="AJ40" i="22"/>
  <c r="AK40" i="22"/>
  <c r="AL40" i="22"/>
  <c r="AM40" i="22"/>
  <c r="AN40" i="22"/>
  <c r="AO40" i="22"/>
  <c r="AG41" i="22"/>
  <c r="AH41" i="22"/>
  <c r="AI41" i="22"/>
  <c r="AJ41" i="22"/>
  <c r="AK41" i="22"/>
  <c r="AG42" i="22"/>
  <c r="AH42" i="22"/>
  <c r="AI42" i="22"/>
  <c r="AJ42" i="22"/>
  <c r="AK42" i="22"/>
  <c r="AL42" i="22"/>
  <c r="AM42" i="22"/>
  <c r="AN42" i="22"/>
  <c r="AO42" i="22"/>
  <c r="AP42" i="22"/>
  <c r="AG43" i="22"/>
  <c r="AH43" i="22"/>
  <c r="AI43" i="22"/>
  <c r="AJ43" i="22"/>
  <c r="AK43" i="22"/>
  <c r="AG44" i="22"/>
  <c r="AH44" i="22"/>
  <c r="AI44" i="22"/>
  <c r="AJ44" i="22"/>
  <c r="AK44" i="22"/>
  <c r="AL44" i="22"/>
  <c r="AM44" i="22"/>
  <c r="AN44" i="22"/>
  <c r="AO44" i="22"/>
  <c r="AG45" i="22"/>
  <c r="AH45" i="22"/>
  <c r="AI45" i="22"/>
  <c r="AJ45" i="22"/>
  <c r="AK45" i="22"/>
  <c r="AG46" i="22"/>
  <c r="AH46" i="22"/>
  <c r="AI46" i="22"/>
  <c r="AJ46" i="22"/>
  <c r="AK46" i="22"/>
  <c r="AG47" i="22"/>
  <c r="AH47" i="22"/>
  <c r="AI47" i="22"/>
  <c r="AJ47" i="22"/>
  <c r="AK47" i="22"/>
  <c r="AL47" i="22"/>
  <c r="AM47" i="22"/>
  <c r="AG48" i="22"/>
  <c r="AH48" i="22"/>
  <c r="AI48" i="22"/>
  <c r="AJ48" i="22"/>
  <c r="AK48" i="22"/>
  <c r="AL48" i="22"/>
  <c r="AM48" i="22"/>
  <c r="AN48" i="22"/>
  <c r="AG49" i="22"/>
  <c r="AH49" i="22"/>
  <c r="AI49" i="22"/>
  <c r="AJ49" i="22"/>
  <c r="AK49" i="22"/>
  <c r="AL49" i="22"/>
  <c r="AM49" i="22"/>
  <c r="AG50" i="22"/>
  <c r="AH50" i="22"/>
  <c r="AI50" i="22"/>
  <c r="AJ50" i="22"/>
  <c r="AK50" i="22"/>
  <c r="AL50" i="22"/>
  <c r="AM50" i="22"/>
  <c r="AN50" i="22"/>
  <c r="AO50" i="22"/>
  <c r="AG51" i="22"/>
  <c r="AH51" i="22"/>
  <c r="AI51" i="22"/>
  <c r="AJ51" i="22"/>
  <c r="AK51" i="22"/>
  <c r="AG52" i="22"/>
  <c r="AH52" i="22"/>
  <c r="AI52" i="22"/>
  <c r="AJ52" i="22"/>
  <c r="AK52" i="22"/>
  <c r="AL52" i="22"/>
  <c r="AM52" i="22"/>
  <c r="AG53" i="22"/>
  <c r="AH53" i="22"/>
  <c r="AI53" i="22"/>
  <c r="AJ53" i="22"/>
  <c r="AK53" i="22"/>
  <c r="AL53" i="22"/>
  <c r="AM53" i="22"/>
  <c r="AN53" i="22"/>
  <c r="AO53" i="22"/>
  <c r="AP53" i="22"/>
  <c r="AG54" i="22"/>
  <c r="AH54" i="22"/>
  <c r="AI54" i="22"/>
  <c r="AJ54" i="22"/>
  <c r="AK54" i="22"/>
  <c r="AG55" i="22"/>
  <c r="AH55" i="22"/>
  <c r="AI55" i="22"/>
  <c r="AJ55" i="22"/>
  <c r="AK55" i="22"/>
  <c r="AL55" i="22"/>
  <c r="AM55" i="22"/>
  <c r="AN55" i="22"/>
  <c r="AO55" i="22"/>
  <c r="AP55" i="22"/>
  <c r="AG56" i="22"/>
  <c r="AH56" i="22"/>
  <c r="AI56" i="22"/>
  <c r="AJ56" i="22"/>
  <c r="AG57" i="22"/>
  <c r="AH57" i="22"/>
  <c r="AI57" i="22"/>
  <c r="AJ57" i="22"/>
  <c r="AK57" i="22"/>
  <c r="AL57" i="22"/>
  <c r="AM57" i="22"/>
  <c r="AN57" i="22"/>
  <c r="AO57" i="22"/>
  <c r="AG58" i="22"/>
  <c r="AH58" i="22"/>
  <c r="AI58" i="22"/>
  <c r="AJ58" i="22"/>
  <c r="AK58" i="22"/>
  <c r="AL58" i="22"/>
  <c r="AM58" i="22"/>
  <c r="AN58" i="22"/>
  <c r="AG59" i="22"/>
  <c r="AH59" i="22"/>
  <c r="AI59" i="22"/>
  <c r="AJ59" i="22"/>
  <c r="AG60" i="22"/>
  <c r="AH60" i="22"/>
  <c r="AI60" i="22"/>
  <c r="AJ60" i="22"/>
  <c r="AK60" i="22"/>
  <c r="AG61" i="22"/>
  <c r="AH61" i="22"/>
  <c r="AI61" i="22"/>
  <c r="AJ61" i="22"/>
  <c r="AK61" i="22"/>
  <c r="AL61" i="22"/>
  <c r="AM61" i="22"/>
  <c r="AN61" i="22"/>
  <c r="AO61" i="22"/>
  <c r="AG62" i="22"/>
  <c r="AH62" i="22"/>
  <c r="AI62" i="22"/>
  <c r="AJ62" i="22"/>
  <c r="AK62" i="22"/>
  <c r="AL62" i="22"/>
  <c r="AM62" i="22"/>
  <c r="AG63" i="22"/>
  <c r="AH63" i="22"/>
  <c r="AI63" i="22"/>
  <c r="AJ63" i="22"/>
  <c r="AK63" i="22"/>
  <c r="AL63" i="22"/>
  <c r="AG64" i="22"/>
  <c r="AH64" i="22"/>
  <c r="AI64" i="22"/>
  <c r="AJ64" i="22"/>
  <c r="AK64" i="22"/>
  <c r="AL64" i="22"/>
  <c r="AG65" i="22"/>
  <c r="AH65" i="22"/>
  <c r="AI65" i="22"/>
  <c r="AJ65" i="22"/>
  <c r="AK65" i="22"/>
  <c r="AL65" i="22"/>
  <c r="AM65" i="22"/>
  <c r="AN65" i="22"/>
  <c r="AG66" i="22"/>
  <c r="AH66" i="22"/>
  <c r="AI66" i="22"/>
  <c r="AJ66" i="22"/>
  <c r="AG67" i="22"/>
  <c r="AH67" i="22"/>
  <c r="AI67" i="22"/>
  <c r="AJ67" i="22"/>
  <c r="AK67" i="22"/>
  <c r="AL67" i="22"/>
  <c r="AM67" i="22"/>
  <c r="AG68" i="22"/>
  <c r="AH68" i="22"/>
  <c r="AI68" i="22"/>
  <c r="AJ68" i="22"/>
  <c r="AK68" i="22"/>
  <c r="AL68" i="22"/>
  <c r="AM68" i="22"/>
  <c r="AG69" i="22"/>
  <c r="AH69" i="22"/>
  <c r="AI69" i="22"/>
  <c r="AJ69" i="22"/>
  <c r="AK69" i="22"/>
  <c r="AL69" i="22"/>
  <c r="AM69" i="22"/>
  <c r="AN69" i="22"/>
  <c r="AO69" i="22"/>
  <c r="AP69" i="22"/>
  <c r="AG70" i="22"/>
  <c r="AH70" i="22"/>
  <c r="AI70" i="22"/>
  <c r="AJ70" i="22"/>
  <c r="AK70" i="22"/>
  <c r="AL70" i="22"/>
  <c r="AM70" i="22"/>
  <c r="AN70" i="22"/>
  <c r="AG71" i="22"/>
  <c r="AH71" i="22"/>
  <c r="AI71" i="22"/>
  <c r="AJ71" i="22"/>
  <c r="AK71" i="22"/>
  <c r="AL71" i="22"/>
  <c r="AM71" i="22"/>
  <c r="AG72" i="22"/>
  <c r="AH72" i="22"/>
  <c r="AI72" i="22"/>
  <c r="AJ72" i="22"/>
  <c r="AK72" i="22"/>
  <c r="AL72" i="22"/>
  <c r="AM72" i="22"/>
  <c r="AN72" i="22"/>
  <c r="AO72" i="22"/>
  <c r="AG73" i="22"/>
  <c r="AH73" i="22"/>
  <c r="AI73" i="22"/>
  <c r="AJ73" i="22"/>
  <c r="AK73" i="22"/>
  <c r="AL73" i="22"/>
  <c r="AM73" i="22"/>
  <c r="AN73" i="22"/>
  <c r="AO73" i="22"/>
  <c r="AG74" i="22"/>
  <c r="AH74" i="22"/>
  <c r="AI74" i="22"/>
  <c r="AJ74" i="22"/>
  <c r="AK74" i="22"/>
  <c r="AG75" i="22"/>
  <c r="AH75" i="22"/>
  <c r="AI75" i="22"/>
  <c r="AJ75" i="22"/>
  <c r="AG76" i="22"/>
  <c r="AH76" i="22"/>
  <c r="AI76" i="22"/>
  <c r="AJ76" i="22"/>
  <c r="AK76" i="22"/>
  <c r="AL76" i="22"/>
  <c r="AM76" i="22"/>
  <c r="AN76" i="22"/>
  <c r="AO76" i="22"/>
  <c r="AP76" i="22"/>
  <c r="AG77" i="22"/>
  <c r="AH77" i="22"/>
  <c r="AI77" i="22"/>
  <c r="AJ77" i="22"/>
  <c r="AG78" i="22"/>
  <c r="AH78" i="22"/>
  <c r="AI78" i="22"/>
  <c r="AJ78" i="22"/>
  <c r="AK78" i="22"/>
  <c r="AL78" i="22"/>
  <c r="AM78" i="22"/>
  <c r="AN78" i="22"/>
  <c r="AO78" i="22"/>
  <c r="AP78" i="22"/>
  <c r="AG79" i="22"/>
  <c r="AH79" i="22"/>
  <c r="AI79" i="22"/>
  <c r="AJ79" i="22"/>
  <c r="AK79" i="22"/>
  <c r="AL79" i="22"/>
  <c r="AM79" i="22"/>
  <c r="AN79" i="22"/>
  <c r="AO79" i="22"/>
  <c r="AG80" i="22"/>
  <c r="AH80" i="22"/>
  <c r="AI80" i="22"/>
  <c r="AJ80" i="22"/>
  <c r="AK80" i="22"/>
  <c r="AL80" i="22"/>
  <c r="AM80" i="22"/>
  <c r="AN80" i="22"/>
  <c r="AG81" i="22"/>
  <c r="AH81" i="22"/>
  <c r="AI81" i="22"/>
  <c r="AJ81" i="22"/>
  <c r="AK81" i="22"/>
  <c r="AL81" i="22"/>
  <c r="AG82" i="22"/>
  <c r="AH82" i="22"/>
  <c r="AI82" i="22"/>
  <c r="AJ82" i="22"/>
  <c r="AG83" i="22"/>
  <c r="AH83" i="22"/>
  <c r="AI83" i="22"/>
  <c r="AJ83" i="22"/>
  <c r="AK83" i="22"/>
  <c r="AG84" i="22"/>
  <c r="AH84" i="22"/>
  <c r="AI84" i="22"/>
  <c r="AJ84" i="22"/>
  <c r="AK84" i="22"/>
  <c r="AL84" i="22"/>
  <c r="AM84" i="22"/>
  <c r="AN84" i="22"/>
  <c r="AO84" i="22"/>
  <c r="AP84" i="22"/>
  <c r="AG85" i="22"/>
  <c r="AH85" i="22"/>
  <c r="AI85" i="22"/>
  <c r="AJ85" i="22"/>
  <c r="AK85" i="22"/>
  <c r="AL85" i="22"/>
  <c r="AM85" i="22"/>
  <c r="AN85" i="22"/>
  <c r="AO85" i="22"/>
  <c r="AG86" i="22"/>
  <c r="AH86" i="22"/>
  <c r="AI86" i="22"/>
  <c r="AJ86" i="22"/>
  <c r="AK86" i="22"/>
  <c r="AL86" i="22"/>
  <c r="AM86" i="22"/>
  <c r="AG87" i="22"/>
  <c r="AH87" i="22"/>
  <c r="AI87" i="22"/>
  <c r="AJ87" i="22"/>
  <c r="AK87" i="22"/>
  <c r="AL87" i="22"/>
  <c r="AM87" i="22"/>
  <c r="AN87" i="22"/>
  <c r="AO87" i="22"/>
  <c r="AG88" i="22"/>
  <c r="AH88" i="22"/>
  <c r="AI88" i="22"/>
  <c r="AJ88" i="22"/>
  <c r="AK88" i="22"/>
  <c r="AL88" i="22"/>
  <c r="AM88" i="22"/>
  <c r="AN88" i="22"/>
  <c r="AO88" i="22"/>
  <c r="AP88" i="22"/>
  <c r="AG89" i="22"/>
  <c r="AH89" i="22"/>
  <c r="AI89" i="22"/>
  <c r="AJ89" i="22"/>
  <c r="AG90" i="22"/>
  <c r="AH90" i="22"/>
  <c r="AI90" i="22"/>
  <c r="AJ90" i="22"/>
  <c r="AK90" i="22"/>
  <c r="AL90" i="22"/>
  <c r="AG91" i="22"/>
  <c r="AH91" i="22"/>
  <c r="AI91" i="22"/>
  <c r="AJ91" i="22"/>
  <c r="AG92" i="22"/>
  <c r="AH92" i="22"/>
  <c r="AI92" i="22"/>
  <c r="AJ92" i="22"/>
  <c r="AK92" i="22"/>
  <c r="AL92" i="22"/>
  <c r="AM92" i="22"/>
  <c r="AG93" i="22"/>
  <c r="AH93" i="22"/>
  <c r="AI93" i="22"/>
  <c r="AJ93" i="22"/>
  <c r="AK93" i="22"/>
  <c r="AL93" i="22"/>
  <c r="AM93" i="22"/>
  <c r="AN93" i="22"/>
  <c r="AO93" i="22"/>
  <c r="AP93" i="22"/>
  <c r="AG94" i="22"/>
  <c r="AH94" i="22"/>
  <c r="AI94" i="22"/>
  <c r="AJ94" i="22"/>
  <c r="AK94" i="22"/>
  <c r="AL94" i="22"/>
  <c r="AM94" i="22"/>
  <c r="AN94" i="22"/>
  <c r="AG95" i="22"/>
  <c r="AH95" i="22"/>
  <c r="AI95" i="22"/>
  <c r="AJ95" i="22"/>
  <c r="AK95" i="22"/>
  <c r="AL95" i="22"/>
  <c r="AM95" i="22"/>
  <c r="AG96" i="22"/>
  <c r="AH96" i="22"/>
  <c r="AI96" i="22"/>
  <c r="AJ96" i="22"/>
  <c r="AK96" i="22"/>
  <c r="AL96" i="22"/>
  <c r="AM96" i="22"/>
  <c r="AN96" i="22"/>
  <c r="AO96" i="22"/>
  <c r="AG97" i="22"/>
  <c r="AH97" i="22"/>
  <c r="AI97" i="22"/>
  <c r="AJ97" i="22"/>
  <c r="AG98" i="22"/>
  <c r="AH98" i="22"/>
  <c r="AI98" i="22"/>
  <c r="AJ98" i="22"/>
  <c r="AK98" i="22"/>
  <c r="AG99" i="22"/>
  <c r="AH99" i="22"/>
  <c r="AI99" i="22"/>
  <c r="AJ99" i="22"/>
  <c r="AG100" i="22"/>
  <c r="AH100" i="22"/>
  <c r="AI100" i="22"/>
  <c r="AJ100" i="22"/>
  <c r="AK100" i="22"/>
  <c r="AL100" i="22"/>
  <c r="AM100" i="22"/>
  <c r="AN100" i="22"/>
  <c r="AG101" i="22"/>
  <c r="AH101" i="22"/>
  <c r="AI101" i="22"/>
  <c r="AJ101" i="22"/>
  <c r="AG102" i="22"/>
  <c r="AH102" i="22"/>
  <c r="AI102" i="22"/>
  <c r="AJ102" i="22"/>
  <c r="AK102" i="22"/>
  <c r="AL102" i="22"/>
  <c r="AM102" i="22"/>
  <c r="AN102" i="22"/>
  <c r="AG103" i="22"/>
  <c r="AH103" i="22"/>
  <c r="AI103" i="22"/>
  <c r="AJ103" i="22"/>
  <c r="AK103" i="22"/>
  <c r="AG104" i="22"/>
  <c r="AH104" i="22"/>
  <c r="AI104" i="22"/>
  <c r="AJ104" i="22"/>
  <c r="AK104" i="22"/>
  <c r="AG105" i="22"/>
  <c r="AH105" i="22"/>
  <c r="AI105" i="22"/>
  <c r="AJ105" i="22"/>
  <c r="AG106" i="22"/>
  <c r="AH106" i="22"/>
  <c r="AI106" i="22"/>
  <c r="AJ106" i="22"/>
  <c r="AG107" i="22"/>
  <c r="AH107" i="22"/>
  <c r="AI107" i="22"/>
  <c r="AJ107" i="22"/>
  <c r="AK107" i="22"/>
  <c r="AL107" i="22"/>
  <c r="AG108" i="22"/>
  <c r="AH108" i="22"/>
  <c r="AI108" i="22"/>
  <c r="AJ108" i="22"/>
  <c r="AK108" i="22"/>
  <c r="AL108" i="22"/>
  <c r="AM108" i="22"/>
  <c r="AG109" i="22"/>
  <c r="AH109" i="22"/>
  <c r="AI109" i="22"/>
  <c r="AJ109" i="22"/>
  <c r="AK109" i="22"/>
  <c r="AG110" i="22"/>
  <c r="AH110" i="22"/>
  <c r="AI110" i="22"/>
  <c r="AJ110" i="22"/>
  <c r="AK110" i="22"/>
  <c r="AL110" i="22"/>
  <c r="AG111" i="22"/>
  <c r="AH111" i="22"/>
  <c r="AI111" i="22"/>
  <c r="AJ111" i="22"/>
  <c r="AK111" i="22"/>
  <c r="AG112" i="22"/>
  <c r="AH112" i="22"/>
  <c r="AI112" i="22"/>
  <c r="AJ112" i="22"/>
  <c r="AK112" i="22"/>
  <c r="AG113" i="22"/>
  <c r="AH113" i="22"/>
  <c r="AI113" i="22"/>
  <c r="AJ113" i="22"/>
  <c r="AK113" i="22"/>
  <c r="AL113" i="22"/>
  <c r="AM113" i="22"/>
  <c r="AN113" i="22"/>
  <c r="AG114" i="22"/>
  <c r="AH114" i="22"/>
  <c r="AI114" i="22"/>
  <c r="AJ114" i="22"/>
  <c r="AK114" i="22"/>
  <c r="AL114" i="22"/>
  <c r="AM114" i="22"/>
  <c r="AG115" i="22"/>
  <c r="AH115" i="22"/>
  <c r="AI115" i="22"/>
  <c r="AJ115" i="22"/>
  <c r="AK115" i="22"/>
  <c r="AL115" i="22"/>
  <c r="AM115" i="22"/>
  <c r="AN115" i="22"/>
  <c r="AO115" i="22"/>
  <c r="AP115" i="22"/>
  <c r="AG116" i="22"/>
  <c r="AH116" i="22"/>
  <c r="AI116" i="22"/>
  <c r="AJ116" i="22"/>
  <c r="AK116" i="22"/>
  <c r="AL116" i="22"/>
  <c r="AM116" i="22"/>
  <c r="AN116" i="22"/>
  <c r="AO116" i="22"/>
  <c r="AP116" i="22"/>
  <c r="AG117" i="22"/>
  <c r="AH117" i="22"/>
  <c r="AI117" i="22"/>
  <c r="AJ117" i="22"/>
  <c r="AK117" i="22"/>
  <c r="AL117" i="22"/>
  <c r="AM117" i="22"/>
  <c r="AG118" i="22"/>
  <c r="AH118" i="22"/>
  <c r="AI118" i="22"/>
  <c r="AJ118" i="22"/>
  <c r="AK118" i="22"/>
  <c r="AL118" i="22"/>
  <c r="AG119" i="22"/>
  <c r="AH119" i="22"/>
  <c r="AI119" i="22"/>
  <c r="AJ119" i="22"/>
  <c r="AK119" i="22"/>
  <c r="AL119" i="22"/>
  <c r="AG120" i="22"/>
  <c r="AH120" i="22"/>
  <c r="AI120" i="22"/>
  <c r="AJ120" i="22"/>
  <c r="AK120" i="22"/>
  <c r="AL120" i="22"/>
  <c r="AM120" i="22"/>
  <c r="AG121" i="22"/>
  <c r="AH121" i="22"/>
  <c r="AI121" i="22"/>
  <c r="AJ121" i="22"/>
  <c r="AK121" i="22"/>
  <c r="AL121" i="22"/>
  <c r="AM121" i="22"/>
  <c r="AN121" i="22"/>
  <c r="AO121" i="22"/>
  <c r="AG122" i="22"/>
  <c r="AH122" i="22"/>
  <c r="AI122" i="22"/>
  <c r="AJ122" i="22"/>
  <c r="AK122" i="22"/>
  <c r="AL122" i="22"/>
  <c r="AM122" i="22"/>
  <c r="AN122" i="22"/>
  <c r="AG123" i="22"/>
  <c r="AH123" i="22"/>
  <c r="AI123" i="22"/>
  <c r="AJ123" i="22"/>
  <c r="AK123" i="22"/>
  <c r="AL123" i="22"/>
  <c r="AG124" i="22"/>
  <c r="AH124" i="22"/>
  <c r="AI124" i="22"/>
  <c r="AJ124" i="22"/>
  <c r="AK124" i="22"/>
  <c r="AL124" i="22"/>
  <c r="AM124" i="22"/>
  <c r="AN124" i="22"/>
  <c r="AO124" i="22"/>
  <c r="AG125" i="22"/>
  <c r="AH125" i="22"/>
  <c r="AI125" i="22"/>
  <c r="AJ125" i="22"/>
  <c r="AK125" i="22"/>
  <c r="AL125" i="22"/>
  <c r="AM125" i="22"/>
  <c r="AN125" i="22"/>
  <c r="AO125" i="22"/>
  <c r="AP125" i="22"/>
  <c r="AG126" i="22"/>
  <c r="AH126" i="22"/>
  <c r="AI126" i="22"/>
  <c r="AJ126" i="22"/>
  <c r="AK126" i="22"/>
  <c r="AL126" i="22"/>
  <c r="AM126" i="22"/>
  <c r="AN126" i="22"/>
  <c r="AG127" i="22"/>
  <c r="AH127" i="22"/>
  <c r="AI127" i="22"/>
  <c r="AJ127" i="22"/>
  <c r="AK127" i="22"/>
  <c r="AL127" i="22"/>
  <c r="AM127" i="22"/>
  <c r="AN127" i="22"/>
  <c r="AO127" i="22"/>
  <c r="AP127" i="22"/>
  <c r="AG128" i="22"/>
  <c r="AH128" i="22"/>
  <c r="AI128" i="22"/>
  <c r="AJ128" i="22"/>
  <c r="AK128" i="22"/>
  <c r="AL128" i="22"/>
  <c r="AG129" i="22"/>
  <c r="AH129" i="22"/>
  <c r="AI129" i="22"/>
  <c r="AJ129" i="22"/>
  <c r="AK129" i="22"/>
  <c r="AL129" i="22"/>
  <c r="AM129" i="22"/>
  <c r="AN129" i="22"/>
  <c r="AG130" i="22"/>
  <c r="AH130" i="22"/>
  <c r="AI130" i="22"/>
  <c r="AJ130" i="22"/>
  <c r="AK130" i="22"/>
  <c r="AL130" i="22"/>
  <c r="AM130" i="22"/>
  <c r="AN130" i="22"/>
  <c r="AO130" i="22"/>
  <c r="AG131" i="22"/>
  <c r="AH131" i="22"/>
  <c r="AI131" i="22"/>
  <c r="AJ131" i="22"/>
  <c r="AK131" i="22"/>
  <c r="AL131" i="22"/>
  <c r="AM131" i="22"/>
  <c r="AN131" i="22"/>
  <c r="AG132" i="22"/>
  <c r="AH132" i="22"/>
  <c r="AI132" i="22"/>
  <c r="AJ132" i="22"/>
  <c r="AK132" i="22"/>
  <c r="AL132" i="22"/>
  <c r="AG133" i="22"/>
  <c r="AH133" i="22"/>
  <c r="AI133" i="22"/>
  <c r="AJ133" i="22"/>
  <c r="AK133" i="22"/>
  <c r="AL133" i="22"/>
  <c r="AM133" i="22"/>
  <c r="AN133" i="22"/>
  <c r="AG134" i="22"/>
  <c r="AH134" i="22"/>
  <c r="AI134" i="22"/>
  <c r="AJ134" i="22"/>
  <c r="AG135" i="22"/>
  <c r="AH135" i="22"/>
  <c r="AI135" i="22"/>
  <c r="AJ135" i="22"/>
  <c r="AG136" i="22"/>
  <c r="AH136" i="22"/>
  <c r="AI136" i="22"/>
  <c r="AJ136" i="22"/>
  <c r="AK136" i="22"/>
  <c r="AG137" i="22"/>
  <c r="AH137" i="22"/>
  <c r="AI137" i="22"/>
  <c r="AJ137" i="22"/>
  <c r="AK137" i="22"/>
  <c r="AL137" i="22"/>
  <c r="AM137" i="22"/>
  <c r="AN137" i="22"/>
  <c r="AO137" i="22"/>
  <c r="AP137" i="22"/>
  <c r="AG138" i="22"/>
  <c r="AH138" i="22"/>
  <c r="AI138" i="22"/>
  <c r="AJ138" i="22"/>
  <c r="AK138" i="22"/>
  <c r="AL138" i="22"/>
  <c r="AM138" i="22"/>
  <c r="AN138" i="22"/>
  <c r="AO138" i="22"/>
  <c r="AP138" i="22"/>
  <c r="AG139" i="22"/>
  <c r="AH139" i="22"/>
  <c r="AI139" i="22"/>
  <c r="AJ139" i="22"/>
  <c r="AG140" i="22"/>
  <c r="AH140" i="22"/>
  <c r="AI140" i="22"/>
  <c r="AJ140" i="22"/>
  <c r="AK140" i="22"/>
  <c r="AL140" i="22"/>
  <c r="AM140" i="22"/>
  <c r="AN140" i="22"/>
  <c r="AO140" i="22"/>
  <c r="AG141" i="22"/>
  <c r="AH141" i="22"/>
  <c r="AI141" i="22"/>
  <c r="AJ141" i="22"/>
  <c r="AK141" i="22"/>
  <c r="AG142" i="22"/>
  <c r="AH142" i="22"/>
  <c r="AI142" i="22"/>
  <c r="AJ142" i="22"/>
  <c r="AK142" i="22"/>
  <c r="AL142" i="22"/>
  <c r="AM142" i="22"/>
  <c r="AN142" i="22"/>
  <c r="AO142" i="22"/>
  <c r="AP142" i="22"/>
  <c r="AG143" i="22"/>
  <c r="AH143" i="22"/>
  <c r="AI143" i="22"/>
  <c r="AJ143" i="22"/>
  <c r="AK143" i="22"/>
  <c r="AL143" i="22"/>
  <c r="AM143" i="22"/>
  <c r="AG144" i="22"/>
  <c r="AH144" i="22"/>
  <c r="AI144" i="22"/>
  <c r="AJ144" i="22"/>
  <c r="AK144" i="22"/>
  <c r="AL144" i="22"/>
  <c r="AM144" i="22"/>
  <c r="AG145" i="22"/>
  <c r="AH145" i="22"/>
  <c r="AI145" i="22"/>
  <c r="AJ145" i="22"/>
  <c r="AK145" i="22"/>
  <c r="AL145" i="22"/>
  <c r="AM145" i="22"/>
  <c r="AN145" i="22"/>
  <c r="AG146" i="22"/>
  <c r="AH146" i="22"/>
  <c r="AI146" i="22"/>
  <c r="AJ146" i="22"/>
  <c r="AK146" i="22"/>
  <c r="AG147" i="22"/>
  <c r="AH147" i="22"/>
  <c r="AI147" i="22"/>
  <c r="AJ147" i="22"/>
  <c r="AK147" i="22"/>
  <c r="AL147" i="22"/>
  <c r="AM147" i="22"/>
  <c r="AN147" i="22"/>
  <c r="AO147" i="22"/>
  <c r="AP147" i="22"/>
  <c r="AG148" i="22"/>
  <c r="AH148" i="22"/>
  <c r="AI148" i="22"/>
  <c r="AJ148" i="22"/>
  <c r="AK148" i="22"/>
  <c r="AL148" i="22"/>
  <c r="AM148" i="22"/>
  <c r="AN148" i="22"/>
  <c r="AO148" i="22"/>
  <c r="AG149" i="22"/>
  <c r="AH149" i="22"/>
  <c r="AI149" i="22"/>
  <c r="AJ149" i="22"/>
  <c r="AK149" i="22"/>
  <c r="AG150" i="22"/>
  <c r="AH150" i="22"/>
  <c r="AI150" i="22"/>
  <c r="AJ150" i="22"/>
  <c r="AK150" i="22"/>
  <c r="AL150" i="22"/>
  <c r="AM150" i="22"/>
  <c r="AG151" i="22"/>
  <c r="AH151" i="22"/>
  <c r="AI151" i="22"/>
  <c r="AJ151" i="22"/>
  <c r="AK151" i="22"/>
  <c r="AG152" i="22"/>
  <c r="AH152" i="22"/>
  <c r="AI152" i="22"/>
  <c r="AJ152" i="22"/>
  <c r="AG153" i="22"/>
  <c r="AH153" i="22"/>
  <c r="AI153" i="22"/>
  <c r="AJ153" i="22"/>
  <c r="AK153" i="22"/>
  <c r="AL153" i="22"/>
  <c r="AG154" i="22"/>
  <c r="AH154" i="22"/>
  <c r="AI154" i="22"/>
  <c r="AJ154" i="22"/>
  <c r="AG155" i="22"/>
  <c r="AH155" i="22"/>
  <c r="AI155" i="22"/>
  <c r="AJ155" i="22"/>
  <c r="AK155" i="22"/>
  <c r="AL155" i="22"/>
  <c r="AM155" i="22"/>
  <c r="AN155" i="22"/>
  <c r="AG156" i="22"/>
  <c r="AH156" i="22"/>
  <c r="AI156" i="22"/>
  <c r="AJ156" i="22"/>
  <c r="AK156" i="22"/>
  <c r="AG157" i="22"/>
  <c r="AH157" i="22"/>
  <c r="AI157" i="22"/>
  <c r="AJ157" i="22"/>
  <c r="AK157" i="22"/>
  <c r="AL157" i="22"/>
  <c r="AM157" i="22"/>
  <c r="AN157" i="22"/>
  <c r="AO157" i="22"/>
  <c r="AP157" i="22"/>
  <c r="AG158" i="22"/>
  <c r="AH158" i="22"/>
  <c r="AI158" i="22"/>
  <c r="AJ158" i="22"/>
  <c r="AK158" i="22"/>
  <c r="AL158" i="22"/>
  <c r="AM158" i="22"/>
  <c r="AG159" i="22"/>
  <c r="AH159" i="22"/>
  <c r="AI159" i="22"/>
  <c r="AJ159" i="22"/>
  <c r="AK159" i="22"/>
  <c r="AG160" i="22"/>
  <c r="AH160" i="22"/>
  <c r="AI160" i="22"/>
  <c r="AJ160" i="22"/>
  <c r="AK160" i="22"/>
  <c r="AL160" i="22"/>
  <c r="AM160" i="22"/>
  <c r="AN160" i="22"/>
  <c r="AG161" i="22"/>
  <c r="AH161" i="22"/>
  <c r="AI161" i="22"/>
  <c r="AJ161" i="22"/>
  <c r="AK161" i="22"/>
  <c r="AL161" i="22"/>
  <c r="AM161" i="22"/>
  <c r="AG162" i="22"/>
  <c r="AH162" i="22"/>
  <c r="AI162" i="22"/>
  <c r="AJ162" i="22"/>
  <c r="AK162" i="22"/>
  <c r="AL162" i="22"/>
  <c r="AM162" i="22"/>
  <c r="AN162" i="22"/>
  <c r="AO162" i="22"/>
  <c r="AP162" i="22"/>
  <c r="AG163" i="22"/>
  <c r="AH163" i="22"/>
  <c r="AI163" i="22"/>
  <c r="AJ163" i="22"/>
  <c r="AK163" i="22"/>
  <c r="AL163" i="22"/>
  <c r="AM163" i="22"/>
  <c r="AG164" i="22"/>
  <c r="AH164" i="22"/>
  <c r="AI164" i="22"/>
  <c r="AJ164" i="22"/>
  <c r="AK164" i="22"/>
  <c r="AL164" i="22"/>
  <c r="AG165" i="22"/>
  <c r="AH165" i="22"/>
  <c r="AI165" i="22"/>
  <c r="AJ165" i="22"/>
  <c r="AG166" i="22"/>
  <c r="AH166" i="22"/>
  <c r="AI166" i="22"/>
  <c r="AJ166" i="22"/>
  <c r="AK166" i="22"/>
  <c r="AL166" i="22"/>
  <c r="AG167" i="22"/>
  <c r="AH167" i="22"/>
  <c r="AI167" i="22"/>
  <c r="AJ167" i="22"/>
  <c r="AK167" i="22"/>
  <c r="AL167" i="22"/>
  <c r="AM167" i="22"/>
  <c r="AN167" i="22"/>
  <c r="AO167" i="22"/>
  <c r="AG168" i="22"/>
  <c r="AH168" i="22"/>
  <c r="AI168" i="22"/>
  <c r="AJ168" i="22"/>
  <c r="AK168" i="22"/>
  <c r="AL168" i="22"/>
  <c r="AM168" i="22"/>
  <c r="AG169" i="22"/>
  <c r="AH169" i="22"/>
  <c r="AI169" i="22"/>
  <c r="AJ169" i="22"/>
  <c r="AK169" i="22"/>
  <c r="AL169" i="22"/>
  <c r="AM169" i="22"/>
  <c r="AN169" i="22"/>
  <c r="AO169" i="22"/>
  <c r="AG170" i="22"/>
  <c r="AH170" i="22"/>
  <c r="AI170" i="22"/>
  <c r="AJ170" i="22"/>
  <c r="AK170" i="22"/>
  <c r="AL170" i="22"/>
  <c r="AM170" i="22"/>
  <c r="AN170" i="22"/>
  <c r="AG171" i="22"/>
  <c r="AH171" i="22"/>
  <c r="AI171" i="22"/>
  <c r="AJ171" i="22"/>
  <c r="AK171" i="22"/>
  <c r="AL171" i="22"/>
  <c r="AM171" i="22"/>
  <c r="AN171" i="22"/>
  <c r="AO171" i="22"/>
  <c r="AG172" i="22"/>
  <c r="AH172" i="22"/>
  <c r="AI172" i="22"/>
  <c r="AJ172" i="22"/>
  <c r="AK172" i="22"/>
  <c r="AL172" i="22"/>
  <c r="AM172" i="22"/>
  <c r="AN172" i="22"/>
  <c r="AO172" i="22"/>
  <c r="AP172" i="22"/>
  <c r="AG173" i="22"/>
  <c r="AH173" i="22"/>
  <c r="AI173" i="22"/>
  <c r="AJ173" i="22"/>
  <c r="AK173" i="22"/>
  <c r="AG174" i="22"/>
  <c r="AH174" i="22"/>
  <c r="AI174" i="22"/>
  <c r="AJ174" i="22"/>
  <c r="AK174" i="22"/>
  <c r="AL174" i="22"/>
  <c r="AM174" i="22"/>
  <c r="AN174" i="22"/>
  <c r="AO174" i="22"/>
  <c r="AP174" i="22"/>
  <c r="AG175" i="22"/>
  <c r="AH175" i="22"/>
  <c r="AI175" i="22"/>
  <c r="AJ175" i="22"/>
  <c r="AK175" i="22"/>
  <c r="AG176" i="22"/>
  <c r="AH176" i="22"/>
  <c r="AI176" i="22"/>
  <c r="AJ176" i="22"/>
  <c r="AK176" i="22"/>
  <c r="AL176" i="22"/>
  <c r="AM176" i="22"/>
  <c r="AG177" i="22"/>
  <c r="AH177" i="22"/>
  <c r="AI177" i="22"/>
  <c r="AJ177" i="22"/>
  <c r="AK177" i="22"/>
  <c r="AL177" i="22"/>
  <c r="AM177" i="22"/>
  <c r="AN177" i="22"/>
  <c r="AO177" i="22"/>
  <c r="AP177" i="22"/>
  <c r="AG178" i="22"/>
  <c r="AH178" i="22"/>
  <c r="AI178" i="22"/>
  <c r="AJ178" i="22"/>
  <c r="AK178" i="22"/>
  <c r="AL178" i="22"/>
  <c r="AM178" i="22"/>
  <c r="AN178" i="22"/>
  <c r="AO178" i="22"/>
  <c r="AG179" i="22"/>
  <c r="AH179" i="22"/>
  <c r="AI179" i="22"/>
  <c r="AJ179" i="22"/>
  <c r="AK179" i="22"/>
  <c r="AL179" i="22"/>
  <c r="AM179" i="22"/>
  <c r="AG180" i="22"/>
  <c r="AH180" i="22"/>
  <c r="AI180" i="22"/>
  <c r="AJ180" i="22"/>
  <c r="AK180" i="22"/>
  <c r="AL180" i="22"/>
  <c r="AM180" i="22"/>
  <c r="AN180" i="22"/>
  <c r="AO180" i="22"/>
  <c r="AG181" i="22"/>
  <c r="AH181" i="22"/>
  <c r="AI181" i="22"/>
  <c r="AJ181" i="22"/>
  <c r="AK181" i="22"/>
  <c r="AL181" i="22"/>
  <c r="AM181" i="22"/>
  <c r="AN181" i="22"/>
  <c r="AO181" i="22"/>
  <c r="AP181" i="22"/>
  <c r="AG182" i="22"/>
  <c r="AH182" i="22"/>
  <c r="AI182" i="22"/>
  <c r="AJ182" i="22"/>
  <c r="AG183" i="22"/>
  <c r="AH183" i="22"/>
  <c r="AI183" i="22"/>
  <c r="AJ183" i="22"/>
  <c r="AG184" i="22"/>
  <c r="AH184" i="22"/>
  <c r="AI184" i="22"/>
  <c r="AJ184" i="22"/>
  <c r="AG185" i="22"/>
  <c r="AH185" i="22"/>
  <c r="AI185" i="22"/>
  <c r="AJ185" i="22"/>
  <c r="AK185" i="22"/>
  <c r="AL185" i="22"/>
  <c r="AM185" i="22"/>
  <c r="AN185" i="22"/>
  <c r="AO185" i="22"/>
  <c r="AG186" i="22"/>
  <c r="AH186" i="22"/>
  <c r="AI186" i="22"/>
  <c r="AJ186" i="22"/>
  <c r="AK186" i="22"/>
  <c r="AL186" i="22"/>
  <c r="AM186" i="22"/>
  <c r="AN186" i="22"/>
  <c r="AO186" i="22"/>
  <c r="AP186" i="22"/>
  <c r="AG187" i="22"/>
  <c r="AH187" i="22"/>
  <c r="AI187" i="22"/>
  <c r="AJ187" i="22"/>
  <c r="AK187" i="22"/>
  <c r="AL187" i="22"/>
  <c r="AM187" i="22"/>
  <c r="AN187" i="22"/>
  <c r="AO187" i="22"/>
  <c r="AG188" i="22"/>
  <c r="AH188" i="22"/>
  <c r="AI188" i="22"/>
  <c r="AJ188" i="22"/>
  <c r="AK188" i="22"/>
  <c r="AL188" i="22"/>
  <c r="AM188" i="22"/>
  <c r="AG189" i="22"/>
  <c r="AH189" i="22"/>
  <c r="AI189" i="22"/>
  <c r="AJ189" i="22"/>
  <c r="AK189" i="22"/>
  <c r="AG190" i="22"/>
  <c r="AH190" i="22"/>
  <c r="AI190" i="22"/>
  <c r="AJ190" i="22"/>
  <c r="AK190" i="22"/>
  <c r="AL190" i="22"/>
  <c r="AM190" i="22"/>
  <c r="AN190" i="22"/>
  <c r="AO190" i="22"/>
  <c r="AP190" i="22"/>
  <c r="AG191" i="22"/>
  <c r="AH191" i="22"/>
  <c r="AI191" i="22"/>
  <c r="AJ191" i="22"/>
  <c r="AK191" i="22"/>
  <c r="AL191" i="22"/>
  <c r="AM191" i="22"/>
  <c r="AN191" i="22"/>
  <c r="AO191" i="22"/>
  <c r="AG192" i="22"/>
  <c r="AH192" i="22"/>
  <c r="AI192" i="22"/>
  <c r="AJ192" i="22"/>
  <c r="AK192" i="22"/>
  <c r="AL192" i="22"/>
  <c r="AM192" i="22"/>
  <c r="AN192" i="22"/>
  <c r="AO192" i="22"/>
  <c r="AG193" i="22"/>
  <c r="AH193" i="22"/>
  <c r="AI193" i="22"/>
  <c r="AJ193" i="22"/>
  <c r="AG194" i="22"/>
  <c r="AH194" i="22"/>
  <c r="AI194" i="22"/>
  <c r="AJ194" i="22"/>
  <c r="AK194" i="22"/>
  <c r="AL194" i="22"/>
  <c r="AM194" i="22"/>
  <c r="AN194" i="22"/>
  <c r="AO194" i="22"/>
  <c r="AG195" i="22"/>
  <c r="AH195" i="22"/>
  <c r="AI195" i="22"/>
  <c r="AJ195" i="22"/>
  <c r="AG196" i="22"/>
  <c r="AH196" i="22"/>
  <c r="AI196" i="22"/>
  <c r="AJ196" i="22"/>
  <c r="AK196" i="22"/>
  <c r="AG197" i="22"/>
  <c r="AH197" i="22"/>
  <c r="AI197" i="22"/>
  <c r="AJ197" i="22"/>
  <c r="AK197" i="22"/>
  <c r="AL197" i="22"/>
  <c r="AM197" i="22"/>
  <c r="AG1" i="21"/>
  <c r="AH1" i="21"/>
  <c r="AI1" i="21"/>
  <c r="AJ1" i="21"/>
  <c r="AG2" i="21"/>
  <c r="AH2" i="21"/>
  <c r="AI2" i="21"/>
  <c r="AJ2" i="21"/>
  <c r="AK2" i="21"/>
  <c r="AG3" i="21"/>
  <c r="AH3" i="21"/>
  <c r="AI3" i="21"/>
  <c r="AJ3" i="21"/>
  <c r="AK3" i="21"/>
  <c r="AL3" i="21"/>
  <c r="R1" i="20"/>
  <c r="Q1" i="20"/>
  <c r="P1" i="20"/>
  <c r="O1" i="20"/>
  <c r="N1" i="20"/>
  <c r="B7" i="26" l="1"/>
  <c r="AC4" i="25"/>
  <c r="AC2" i="25"/>
  <c r="AC1" i="25"/>
  <c r="AC3" i="25"/>
  <c r="AC194" i="23"/>
  <c r="AC1" i="23"/>
  <c r="AC135" i="23"/>
  <c r="AC134" i="23"/>
  <c r="AC149" i="23"/>
  <c r="AC152" i="23"/>
  <c r="AC184" i="23"/>
  <c r="AC182" i="23"/>
  <c r="AC193" i="23"/>
  <c r="AC195" i="23"/>
  <c r="AC196" i="23"/>
  <c r="AC51" i="23"/>
  <c r="AC59" i="23"/>
  <c r="AC89" i="23"/>
  <c r="AC83" i="23"/>
  <c r="AC104" i="23"/>
  <c r="AC103" i="23"/>
  <c r="AC56" i="23"/>
  <c r="AC43" i="23"/>
  <c r="AC36" i="23"/>
  <c r="AC35" i="23"/>
  <c r="AC16" i="23"/>
  <c r="AC15" i="23"/>
  <c r="AC14" i="23"/>
  <c r="AC8" i="23"/>
  <c r="AC6" i="23"/>
  <c r="AC7" i="23"/>
  <c r="AC109" i="23"/>
  <c r="AC101" i="23"/>
  <c r="AC99" i="23"/>
  <c r="BB1" i="23"/>
</calcChain>
</file>

<file path=xl/sharedStrings.xml><?xml version="1.0" encoding="utf-8"?>
<sst xmlns="http://schemas.openxmlformats.org/spreadsheetml/2006/main" count="4234" uniqueCount="678">
  <si>
    <t>[...#.] (0,2,3,4) (2,3) (0,4) (0,1,2) (1,2,3,4) {7,5,12,7,2}</t>
  </si>
  <si>
    <t>[.###] (0,2) (0,1,3) (0,3) {29,14,9,20}</t>
  </si>
  <si>
    <t>[#.#.#] (0,2) (0,1,2,3) (1,3,4) {10,28,10,28,18}</t>
  </si>
  <si>
    <t>(0,2)</t>
  </si>
  <si>
    <t>(0,1,3)</t>
  </si>
  <si>
    <t>[3,5,4,7]</t>
  </si>
  <si>
    <t>[3]</t>
  </si>
  <si>
    <t>[1,3]</t>
  </si>
  <si>
    <t>[2]</t>
  </si>
  <si>
    <t>[2,3]</t>
  </si>
  <si>
    <t>[0,2]</t>
  </si>
  <si>
    <t>[0,1]</t>
  </si>
  <si>
    <t>[7,5,12,7,2]</t>
  </si>
  <si>
    <t>[0,2,3,4]</t>
  </si>
  <si>
    <t>[0,4]</t>
  </si>
  <si>
    <t>[0,1,2]</t>
  </si>
  <si>
    <t>[1,2,3,4]</t>
  </si>
  <si>
    <t>[10,11,11,5,10,5]</t>
  </si>
  <si>
    <t>[0,1,2,3,4]</t>
  </si>
  <si>
    <t>[0,3,4]</t>
  </si>
  <si>
    <t>[0,1,2,4,5]</t>
  </si>
  <si>
    <t>[1,2]</t>
  </si>
  <si>
    <t xml:space="preserve">' --- </t>
  </si>
  <si>
    <t>[26,32,28,47,23,20]</t>
  </si>
  <si>
    <t>[2,4]</t>
  </si>
  <si>
    <t>[3,4]</t>
  </si>
  <si>
    <t>[0,2,3,5]</t>
  </si>
  <si>
    <t>[0,1,2,3]</t>
  </si>
  <si>
    <t>[1,3,4,5]</t>
  </si>
  <si>
    <t>[58,41,286,233,79,43,63]</t>
  </si>
  <si>
    <t>[0,1,2,4,6]</t>
  </si>
  <si>
    <t>[1,2,4,6]</t>
  </si>
  <si>
    <t>[0,6]</t>
  </si>
  <si>
    <t>[0,2,3,4,5,6]</t>
  </si>
  <si>
    <t>[0,2,3,4,5]</t>
  </si>
  <si>
    <t>[3,4,5,6]</t>
  </si>
  <si>
    <t>[0,1,2,5,6]</t>
  </si>
  <si>
    <t>[32,29,35,51]</t>
  </si>
  <si>
    <t>[1]</t>
  </si>
  <si>
    <t>[0,1,3]</t>
  </si>
  <si>
    <t>[0,2,3]</t>
  </si>
  <si>
    <t>[55,40,39,33,42,56]</t>
  </si>
  <si>
    <t>[1,2,4]</t>
  </si>
  <si>
    <t>[2,4,5]</t>
  </si>
  <si>
    <t>[4,5]</t>
  </si>
  <si>
    <t>[0,5]</t>
  </si>
  <si>
    <t>[0,1,5]</t>
  </si>
  <si>
    <t>[0,3]</t>
  </si>
  <si>
    <t>[3,5]</t>
  </si>
  <si>
    <t>[0,4,4,4]</t>
  </si>
  <si>
    <t>[1,2,3]</t>
  </si>
  <si>
    <t>[197,32,188,210,37]</t>
  </si>
  <si>
    <t>[4]</t>
  </si>
  <si>
    <t>[14,43,68,43,11,57,43]</t>
  </si>
  <si>
    <t>[1,2,3,5,6]</t>
  </si>
  <si>
    <t>[0,1,2,3,5,6]</t>
  </si>
  <si>
    <t>[2,5]</t>
  </si>
  <si>
    <t>[1,2,6]</t>
  </si>
  <si>
    <t>[2,3,4,5]</t>
  </si>
  <si>
    <t>[21,14,32,24]</t>
  </si>
  <si>
    <t>[77,29,90,62,55,29,62,112,79,55]</t>
  </si>
  <si>
    <t>[1,2,3,5,6,7,8,9]</t>
  </si>
  <si>
    <t>[0,2,4,6,7,8,9]</t>
  </si>
  <si>
    <t>[0,2,4,6,7,8]</t>
  </si>
  <si>
    <t>[4,5,6,8,9]</t>
  </si>
  <si>
    <t>[2,3,7,8,9]</t>
  </si>
  <si>
    <t>[2,6,7,8,9]</t>
  </si>
  <si>
    <t>[0,6,7]</t>
  </si>
  <si>
    <t>[0,3,7]</t>
  </si>
  <si>
    <t>[1,2,3,5,6,7,9]</t>
  </si>
  <si>
    <t>[0,1,2,3,4,5,7,8]</t>
  </si>
  <si>
    <t>[52,30,67,53,55,67,72,17,36,68]</t>
  </si>
  <si>
    <t>[0,1,4,6,8,9]</t>
  </si>
  <si>
    <t>[1,2,3,5,6,8,9]</t>
  </si>
  <si>
    <t>[0,2,3,4,5,6,8]</t>
  </si>
  <si>
    <t>[0,4,5,6,7]</t>
  </si>
  <si>
    <t>[1,2,9]</t>
  </si>
  <si>
    <t>[2,5,9]</t>
  </si>
  <si>
    <t>[2,4,6,7]</t>
  </si>
  <si>
    <t>[0,3,4,6,9]</t>
  </si>
  <si>
    <t>[57,51,30,56,31,28,55,26,21]</t>
  </si>
  <si>
    <t>[0,1,2,3,4,7]</t>
  </si>
  <si>
    <t>[3,4,7]</t>
  </si>
  <si>
    <t>[3,5,6]</t>
  </si>
  <si>
    <t>[0,3,6,8]</t>
  </si>
  <si>
    <t>[1,2,3,6,8]</t>
  </si>
  <si>
    <t>[0,1,2,4,5,6,7]</t>
  </si>
  <si>
    <t>[1,3,6]</t>
  </si>
  <si>
    <t>[42,30,32,31,20,52,48]</t>
  </si>
  <si>
    <t>[0,2,5,6]</t>
  </si>
  <si>
    <t>[1,4,6]</t>
  </si>
  <si>
    <t>[0,5,6]</t>
  </si>
  <si>
    <t>[0,1,3,6]</t>
  </si>
  <si>
    <t>[87,56,65,70,72,54,78,100,42,54]</t>
  </si>
  <si>
    <t>[2,3,4,5,6,7,8]</t>
  </si>
  <si>
    <t>[0,2,3,5,8,9]</t>
  </si>
  <si>
    <t>[0,1,7,9]</t>
  </si>
  <si>
    <t>[2,3,5]</t>
  </si>
  <si>
    <t>[1,7]</t>
  </si>
  <si>
    <t>[1,2,3,6,7]</t>
  </si>
  <si>
    <t>[0,3,4,5,6]</t>
  </si>
  <si>
    <t>[0,3,6,8,9]</t>
  </si>
  <si>
    <t>[0,1,2,4,5,6,7,9]</t>
  </si>
  <si>
    <t>[0,2,3,5,7,8,9]</t>
  </si>
  <si>
    <t>[0,4,6,7]</t>
  </si>
  <si>
    <t>[34,26,19,27,31]</t>
  </si>
  <si>
    <t>[0,2,4]</t>
  </si>
  <si>
    <t>[16,16,30,14,28]</t>
  </si>
  <si>
    <t>[35,34,40,37,34,16]</t>
  </si>
  <si>
    <t>[0,1,4,5]</t>
  </si>
  <si>
    <t>[245,73,271,260,222,272,45]</t>
  </si>
  <si>
    <t>[1,3,4,5,6]</t>
  </si>
  <si>
    <t>[0,2,3,4,6]</t>
  </si>
  <si>
    <t>[2,6]</t>
  </si>
  <si>
    <t>[0,1,2,3,5]</t>
  </si>
  <si>
    <t>[1,5]</t>
  </si>
  <si>
    <t>[1,2,3,4,5]</t>
  </si>
  <si>
    <t>[31,71,57,84,46,35]</t>
  </si>
  <si>
    <t>[1,3,4]</t>
  </si>
  <si>
    <t>[3,4,5]</t>
  </si>
  <si>
    <t>[169,90,115,126,166,66,52,68]</t>
  </si>
  <si>
    <t>[0,2,3,6,7]</t>
  </si>
  <si>
    <t>[0,1,2,6]</t>
  </si>
  <si>
    <t>[1,4,7]</t>
  </si>
  <si>
    <t>[5,6,7]</t>
  </si>
  <si>
    <t>[0,1,2,4,5,7]</t>
  </si>
  <si>
    <t>[179,196,17,188,17]</t>
  </si>
  <si>
    <t>[21,147,3,18,32]</t>
  </si>
  <si>
    <t>[0,1,4]</t>
  </si>
  <si>
    <t>[33,22,43,42,6,32]</t>
  </si>
  <si>
    <t>[1,2,3,5]</t>
  </si>
  <si>
    <t>[1,2,5]</t>
  </si>
  <si>
    <t>[73,44,44,55,44,51,60,27]</t>
  </si>
  <si>
    <t>[0,1,2,3,4,6]</t>
  </si>
  <si>
    <t>[2,5,6]</t>
  </si>
  <si>
    <t>[1,3,6,7]</t>
  </si>
  <si>
    <t>[0,1,3,4,6,7]</t>
  </si>
  <si>
    <t>[0,1,2,3,4,5,6]</t>
  </si>
  <si>
    <t>[62,39,169,48,160,154,186,75,146]</t>
  </si>
  <si>
    <t>[2,6,7]</t>
  </si>
  <si>
    <t>[0,3,6,7]</t>
  </si>
  <si>
    <t>[0,1,3,4,5,8]</t>
  </si>
  <si>
    <t>[0,1,2,4,5,6,7,8]</t>
  </si>
  <si>
    <t>[0,2,3,4,6,7]</t>
  </si>
  <si>
    <t>[2,4,5,6,8]</t>
  </si>
  <si>
    <t>[0,3,6,7,8]</t>
  </si>
  <si>
    <t>[22,8,188,37,46,46,166]</t>
  </si>
  <si>
    <t>[2,3,4,5,6]</t>
  </si>
  <si>
    <t>[2,3,6]</t>
  </si>
  <si>
    <t>[2,4,5,6]</t>
  </si>
  <si>
    <t>[59,6,20,30,31,28]</t>
  </si>
  <si>
    <t>[0,3,5]</t>
  </si>
  <si>
    <t>[0,1,2,4]</t>
  </si>
  <si>
    <t>[73,40,46,24,27,27,22,47]</t>
  </si>
  <si>
    <t>[0,2,6,7]</t>
  </si>
  <si>
    <t>[0,4,5,6]</t>
  </si>
  <si>
    <t>[0,2,7]</t>
  </si>
  <si>
    <t>[0,1,2,3,4,6,7]</t>
  </si>
  <si>
    <t>[0,1,3,5,7]</t>
  </si>
  <si>
    <t>[77,90,62,70,55,84,105,75,52,72]</t>
  </si>
  <si>
    <t>[0,4,5]</t>
  </si>
  <si>
    <t>[0,1,3,4,6,7,8,9]</t>
  </si>
  <si>
    <t>[1,2,4,5,6,7]</t>
  </si>
  <si>
    <t>[0,1,3,5,6,7,9]</t>
  </si>
  <si>
    <t>[0,1,3,5,6,7,8,9]</t>
  </si>
  <si>
    <t>[0,2,5,6,8,9]</t>
  </si>
  <si>
    <t>[1,2,3,6]</t>
  </si>
  <si>
    <t>[2,5,6,7,9]</t>
  </si>
  <si>
    <t>[38,32,54,67,38,20]</t>
  </si>
  <si>
    <t>[2,3,4]</t>
  </si>
  <si>
    <t>[218,13,20,7,205,218]</t>
  </si>
  <si>
    <t>[0,1,2,5]</t>
  </si>
  <si>
    <t>[174,188,195,169,159,43,182,43]</t>
  </si>
  <si>
    <t>[5,7]</t>
  </si>
  <si>
    <t>[0,1,2,5,6,7]</t>
  </si>
  <si>
    <t>[0,1,2,5,7]</t>
  </si>
  <si>
    <t>[1,2,3,5,6,7]</t>
  </si>
  <si>
    <t>[0,1,3,4,5,6]</t>
  </si>
  <si>
    <t>[198,46,172,174,172,26,32,178]</t>
  </si>
  <si>
    <t>[0,1,2,3,5,7]</t>
  </si>
  <si>
    <t>[0,3,4,5,6,7]</t>
  </si>
  <si>
    <t>[0,1,2,3,6,7]</t>
  </si>
  <si>
    <t>[0,2,3,4,7]</t>
  </si>
  <si>
    <t>[0,1,5,6]</t>
  </si>
  <si>
    <t>[0,1,4,5,6,7]</t>
  </si>
  <si>
    <t>[166,31,153,68,52,37,12,68]</t>
  </si>
  <si>
    <t>[0,2,3,5,7]</t>
  </si>
  <si>
    <t>[2,3,4,5,7]</t>
  </si>
  <si>
    <t>[3,4,5,7]</t>
  </si>
  <si>
    <t>[1,3,7]</t>
  </si>
  <si>
    <t>[0,1,3,4,7]</t>
  </si>
  <si>
    <t>[0,2,3,4,5,6,7]</t>
  </si>
  <si>
    <t>[145,32,140,149,33,26,67,136]</t>
  </si>
  <si>
    <t>[0,1,3,4,5]</t>
  </si>
  <si>
    <t>[0,1,2,6,7]</t>
  </si>
  <si>
    <t>[1,3,4,6]</t>
  </si>
  <si>
    <t>[0,3,6]</t>
  </si>
  <si>
    <t>[0,2,3,7]</t>
  </si>
  <si>
    <t>[29,14,9,20]</t>
  </si>
  <si>
    <t>[7,19,153,148]</t>
  </si>
  <si>
    <t>[19,19,16,10,27,10]</t>
  </si>
  <si>
    <t>[165,18,157,163,41]</t>
  </si>
  <si>
    <t>[1,4]</t>
  </si>
  <si>
    <t>[33,34,35,41,25,30]</t>
  </si>
  <si>
    <t>[0,1,3,4]</t>
  </si>
  <si>
    <t>[221,261,199,37,213,199,234,44,238]</t>
  </si>
  <si>
    <t>[1,7,8]</t>
  </si>
  <si>
    <t>[1,6]</t>
  </si>
  <si>
    <t>[1,4,6,7,8]</t>
  </si>
  <si>
    <t>[0,1,2,3,4,6,8]</t>
  </si>
  <si>
    <t>[0,1,2,3,7]</t>
  </si>
  <si>
    <t>[0,1,2,4,5,6,8]</t>
  </si>
  <si>
    <t>[0,1,5,6,7,8]</t>
  </si>
  <si>
    <t>[15,37,34,37,44]</t>
  </si>
  <si>
    <t>[90,97,70,110,74,76,59,48,67,89]</t>
  </si>
  <si>
    <t>[0,1,2,3,7,9]</t>
  </si>
  <si>
    <t>[0,2,4,6,8]</t>
  </si>
  <si>
    <t>[0,1,2,4,6,7,8,9]</t>
  </si>
  <si>
    <t>[3,6,9]</t>
  </si>
  <si>
    <t>[0,1,3,4,5,9]</t>
  </si>
  <si>
    <t>[0,1,2,3,4,5,7,9]</t>
  </si>
  <si>
    <t>[1,3,4,5,8,9]</t>
  </si>
  <si>
    <t>[0,1,2,3,4,5,8]</t>
  </si>
  <si>
    <t>[0,3,5,8]</t>
  </si>
  <si>
    <t>[10,28,10,28,18]</t>
  </si>
  <si>
    <t>[21,49,41,41,47,48,62,49,49]</t>
  </si>
  <si>
    <t>[1,5,6]</t>
  </si>
  <si>
    <t>[2,3,5,7,8]</t>
  </si>
  <si>
    <t>[4,7]</t>
  </si>
  <si>
    <t>[1,4,5,8]</t>
  </si>
  <si>
    <t>[3,6]</t>
  </si>
  <si>
    <t>[0,1,2,4,6,7,8]</t>
  </si>
  <si>
    <t>[2,4,6]</t>
  </si>
  <si>
    <t>[0,1,3,4,6,7,8]</t>
  </si>
  <si>
    <t>[21,9,52,34,33]</t>
  </si>
  <si>
    <t>[35,10,44,21,33]</t>
  </si>
  <si>
    <t>[29,33,66,26,59,35,39]</t>
  </si>
  <si>
    <t>[4,5,6]</t>
  </si>
  <si>
    <t>[1,2,4,5,6]</t>
  </si>
  <si>
    <t>[9,38,31,36,31,37,61,33]</t>
  </si>
  <si>
    <t>[0,2,4,5]</t>
  </si>
  <si>
    <t>[2,3,4,7]</t>
  </si>
  <si>
    <t>[2,5,6,7]</t>
  </si>
  <si>
    <t>[1,3,5,6]</t>
  </si>
  <si>
    <t>[20,10,43,27,28,32,21]</t>
  </si>
  <si>
    <t>[0,2,5]</t>
  </si>
  <si>
    <t>[0,2,4,6]</t>
  </si>
  <si>
    <t>[11,32,13,26,13,25,34,37,6]</t>
  </si>
  <si>
    <t>[0,1,2,3,4,6,7,8]</t>
  </si>
  <si>
    <t>[0,2,5,6,7]</t>
  </si>
  <si>
    <t>[1,6,7]</t>
  </si>
  <si>
    <t>[3,7]</t>
  </si>
  <si>
    <t>[33,33,183,186,3]</t>
  </si>
  <si>
    <t>[0]</t>
  </si>
  <si>
    <t>[62,36,54,80,33,11,36]</t>
  </si>
  <si>
    <t>[1,3,5]</t>
  </si>
  <si>
    <t>[0,2,3,6]</t>
  </si>
  <si>
    <t>[0,1,2,3,6]</t>
  </si>
  <si>
    <t>[41,27,33,26,55,17,34,36,44,37]</t>
  </si>
  <si>
    <t>[0,1,2,3,5,9]</t>
  </si>
  <si>
    <t>[4,8,9]</t>
  </si>
  <si>
    <t>[0,1,2,3,4,5,6,7,8]</t>
  </si>
  <si>
    <t>[2,7]</t>
  </si>
  <si>
    <t>[1,4,7,9]</t>
  </si>
  <si>
    <t>[0,4,6,8]</t>
  </si>
  <si>
    <t>[23,31,46,16,22]</t>
  </si>
  <si>
    <t>[55,42,59,72,99,45,83,48,78,47]</t>
  </si>
  <si>
    <t>[3,5,8]</t>
  </si>
  <si>
    <t>[2,4,6,8]</t>
  </si>
  <si>
    <t>[1,3,4,6,7,8]</t>
  </si>
  <si>
    <t>[0,2,3,4,5,6,8,9]</t>
  </si>
  <si>
    <t>[0,1,3,4,6,7,9]</t>
  </si>
  <si>
    <t>[0,8]</t>
  </si>
  <si>
    <t>[0,1,4,5,6,9]</t>
  </si>
  <si>
    <t>[2,6,8,9]</t>
  </si>
  <si>
    <t>[7,17,15,7]</t>
  </si>
  <si>
    <t>[38,35,33,27,39,4,36,15,6]</t>
  </si>
  <si>
    <t>[1,2,4,6,8]</t>
  </si>
  <si>
    <t>[4,6]</t>
  </si>
  <si>
    <t>[36,47,48,28,63,86,63,53]</t>
  </si>
  <si>
    <t>[0,1,2,3,4,5]</t>
  </si>
  <si>
    <t>[0,5,6,7]</t>
  </si>
  <si>
    <t>[1,4,5,6]</t>
  </si>
  <si>
    <t>[2,5,7]</t>
  </si>
  <si>
    <t>[3,4,5,6,7]</t>
  </si>
  <si>
    <t>[1,2,3,4,5,6,7]</t>
  </si>
  <si>
    <t>[1,4,6,7]</t>
  </si>
  <si>
    <t>[16,20,6,9]</t>
  </si>
  <si>
    <t>[8,43,35,43,27]</t>
  </si>
  <si>
    <t>[33,48,21,30,51,64,38,23,28]</t>
  </si>
  <si>
    <t>[1,4,5]</t>
  </si>
  <si>
    <t>[0,4,5,7]</t>
  </si>
  <si>
    <t>[0,1,2,3,5,6,7,8]</t>
  </si>
  <si>
    <t>[1,3,4,5,6,8]</t>
  </si>
  <si>
    <t>[2,6,8]</t>
  </si>
  <si>
    <t>[22,33,146,4,33,146,35]</t>
  </si>
  <si>
    <t>[0,3,5,6]</t>
  </si>
  <si>
    <t>[24,60,69,34,27,39]</t>
  </si>
  <si>
    <t>[27,16,27,18,19,16]</t>
  </si>
  <si>
    <t>[28,28,21,10,29,9,22,26]</t>
  </si>
  <si>
    <t>[0,2,4,5,6,7]</t>
  </si>
  <si>
    <t>[0,1,7]</t>
  </si>
  <si>
    <t>[5,6]</t>
  </si>
  <si>
    <t>[0,2,6]</t>
  </si>
  <si>
    <t>[8,7,25,18]</t>
  </si>
  <si>
    <t>[26,1,170,183,41,26,42]</t>
  </si>
  <si>
    <t>[0,2,4,5,6]</t>
  </si>
  <si>
    <t>[2,3,4,6]</t>
  </si>
  <si>
    <t>[12,34,4,38,19,35,38]</t>
  </si>
  <si>
    <t>[2,3,5,6]</t>
  </si>
  <si>
    <t>[1,2,5,6]</t>
  </si>
  <si>
    <t>[40,35,22,21,28,22,26,19,34,10]</t>
  </si>
  <si>
    <t>[1,4,5,7,8,9]</t>
  </si>
  <si>
    <t>[0,2,4,5,6,7,8]</t>
  </si>
  <si>
    <t>[1,2,6,7,8]</t>
  </si>
  <si>
    <t>[0,5,8]</t>
  </si>
  <si>
    <t>[0,1,2,4,5,6,7,8,9]</t>
  </si>
  <si>
    <t>[47,46,61,74,63,63,39,67]</t>
  </si>
  <si>
    <t>[1,2,3,4,7]</t>
  </si>
  <si>
    <t>[246,210,50,201,52,52,203]</t>
  </si>
  <si>
    <t>[33,48,16,40,37,42,32,24,66]</t>
  </si>
  <si>
    <t>[0,1,4,5,8]</t>
  </si>
  <si>
    <t>[1,3,8]</t>
  </si>
  <si>
    <t>[4,6,7,8]</t>
  </si>
  <si>
    <t>[0,1,2,5,6,8]</t>
  </si>
  <si>
    <t>[0,1,3,4,5,6,8]</t>
  </si>
  <si>
    <t>[3,6,8]</t>
  </si>
  <si>
    <t>[74,56,77,96,42,43,58,97,39]</t>
  </si>
  <si>
    <t>[6]</t>
  </si>
  <si>
    <t>[2,3,7]</t>
  </si>
  <si>
    <t>[0,7,8]</t>
  </si>
  <si>
    <t>[0,4,5,6,8]</t>
  </si>
  <si>
    <t>[0,5,7]</t>
  </si>
  <si>
    <t>[0,2,3,8]</t>
  </si>
  <si>
    <t>[0,1,3,5,7,8]</t>
  </si>
  <si>
    <t>[18,43,25,38,45]</t>
  </si>
  <si>
    <t>[15,11,39,12]</t>
  </si>
  <si>
    <t>[45,32,33,31,37,58,22,66,73,38]</t>
  </si>
  <si>
    <t>[1,3,4,5,6,7,8,9]</t>
  </si>
  <si>
    <t>[5,7,8]</t>
  </si>
  <si>
    <t>[3,4,7,8,9]</t>
  </si>
  <si>
    <t>[0,2,8]</t>
  </si>
  <si>
    <t>[2,3,4,5,8,9]</t>
  </si>
  <si>
    <t>[0,4,5,7,8]</t>
  </si>
  <si>
    <t>[1,3,5,6,7,8,9]</t>
  </si>
  <si>
    <t>[0,1,9]</t>
  </si>
  <si>
    <t>[17,45,18,46]</t>
  </si>
  <si>
    <t>[37,88,60,8,87,70,59,52,53,39]</t>
  </si>
  <si>
    <t>[0,1,4,5,6]</t>
  </si>
  <si>
    <t>[5,8]</t>
  </si>
  <si>
    <t>[2,4,5,8]</t>
  </si>
  <si>
    <t>[6,7]</t>
  </si>
  <si>
    <t>[1,2,7]</t>
  </si>
  <si>
    <t>[0,1,4,9]</t>
  </si>
  <si>
    <t>[1,2,4,5,6,7,8,9]</t>
  </si>
  <si>
    <t>[50,29,28,44,29,35,42,60,19]</t>
  </si>
  <si>
    <t>[0,2,3,4,5,7]</t>
  </si>
  <si>
    <t>[0,3,5,6,7]</t>
  </si>
  <si>
    <t>[1,5,6,7]</t>
  </si>
  <si>
    <t>[0,1,2,3,4,7,8]</t>
  </si>
  <si>
    <t>[76,64,54,61,59,59,60,85]</t>
  </si>
  <si>
    <t>[1,3,4,6,7]</t>
  </si>
  <si>
    <t>[0,1,3,5,6,7]</t>
  </si>
  <si>
    <t>[0,1,4,6,7]</t>
  </si>
  <si>
    <t>[1,3,4,5,6,7]</t>
  </si>
  <si>
    <t>[51,20,17,77,56,49]</t>
  </si>
  <si>
    <t>[0,3,4,5]</t>
  </si>
  <si>
    <t>[5,9,14,14]</t>
  </si>
  <si>
    <t>[26,11,34,28,26]</t>
  </si>
  <si>
    <t>[170,218,189,63,63,178,191,164,47,153]</t>
  </si>
  <si>
    <t>[0,1,2,5,6,7,9]</t>
  </si>
  <si>
    <t>[1,2,3,4,5,6,7,8,9]</t>
  </si>
  <si>
    <t>[3,6,7,8]</t>
  </si>
  <si>
    <t>[1,3,4,6,8]</t>
  </si>
  <si>
    <t>[0,1,2,3,5,8]</t>
  </si>
  <si>
    <t>[25,38,14,41,29,17,12,39,25]</t>
  </si>
  <si>
    <t>[2,4,5,6,7]</t>
  </si>
  <si>
    <t>[0,1,4,6,8]</t>
  </si>
  <si>
    <t>[7,8]</t>
  </si>
  <si>
    <t>[12,177,158,166,12,19,158]</t>
  </si>
  <si>
    <t>[1,2,3,4,5,6]</t>
  </si>
  <si>
    <t>[38,21,12,42,26,32,14,33,43]</t>
  </si>
  <si>
    <t>[28,53,26,19,48,53,72,63,58,41]</t>
  </si>
  <si>
    <t>[0,7]</t>
  </si>
  <si>
    <t>[0,1,4,5,6,7,8]</t>
  </si>
  <si>
    <t>[1,3,7,8,9]</t>
  </si>
  <si>
    <t>[5,6,7,9]</t>
  </si>
  <si>
    <t>[0,1,5,6,8,9]</t>
  </si>
  <si>
    <t>[1,5,6,7,8]</t>
  </si>
  <si>
    <t>[0,1,2,4,5,6,8,9]</t>
  </si>
  <si>
    <t>[0,2,5,6,7,8,9]</t>
  </si>
  <si>
    <t>[0,4,5,6,7,8,9]</t>
  </si>
  <si>
    <t>[0,1,3,4,7,8,9]</t>
  </si>
  <si>
    <t>[0,32,29,49]</t>
  </si>
  <si>
    <t>[25,25,35,17,19,44]</t>
  </si>
  <si>
    <t>[37,28,33,7]</t>
  </si>
  <si>
    <t>[39,61,60,55,45,43,35]</t>
  </si>
  <si>
    <t>[28,78,45,32,93,59,68,43,68,90]</t>
  </si>
  <si>
    <t>[0,6,9]</t>
  </si>
  <si>
    <t>[1,2,6,9]</t>
  </si>
  <si>
    <t>[1,2,4,6,7,8,9]</t>
  </si>
  <si>
    <t>[0,1,2,4,6,8,9]</t>
  </si>
  <si>
    <t>[1,4,5,9]</t>
  </si>
  <si>
    <t>[7,9]</t>
  </si>
  <si>
    <t>[3,4,6]</t>
  </si>
  <si>
    <t>[5,8,9]</t>
  </si>
  <si>
    <t>[0,1,2,4,5,7,8]</t>
  </si>
  <si>
    <t>[1,3,4,6,9]</t>
  </si>
  <si>
    <t>[1,4,5,7,9]</t>
  </si>
  <si>
    <t>[13,34,32,31,11,28,24,32]</t>
  </si>
  <si>
    <t>[1,2,6,7]</t>
  </si>
  <si>
    <t>[17,18,17,12,30,23,17]</t>
  </si>
  <si>
    <t>[196,232,215,212,207,222,205,195,72]</t>
  </si>
  <si>
    <t>[1,2,3,4,5,6,8]</t>
  </si>
  <si>
    <t>[1,2,5,7]</t>
  </si>
  <si>
    <t>[0,2,5,6,7,8]</t>
  </si>
  <si>
    <t>[4,7,8]</t>
  </si>
  <si>
    <t>[1,3,6,7,8]</t>
  </si>
  <si>
    <t>[0,1,2,3,4,5,6,7]</t>
  </si>
  <si>
    <t>[15,19,30,15]</t>
  </si>
  <si>
    <t>[14,19,25,26,26]</t>
  </si>
  <si>
    <t>[20,6,20,20]</t>
  </si>
  <si>
    <t>[59,47,35,30,43,52,25,11]</t>
  </si>
  <si>
    <t>[5]</t>
  </si>
  <si>
    <t>[15,167,35,162]</t>
  </si>
  <si>
    <t>[72,38,25,65,40,42,37,66]</t>
  </si>
  <si>
    <t>[0,1,4,5,7]</t>
  </si>
  <si>
    <t>[129,17,138,37,118]</t>
  </si>
  <si>
    <t>[46,46,39,24,15]</t>
  </si>
  <si>
    <t>[19,171,9,164]</t>
  </si>
  <si>
    <t>[29,23,41,17]</t>
  </si>
  <si>
    <t>[16,29,134,22,127,169]</t>
  </si>
  <si>
    <t>[58,25,38,50,161,150,23]</t>
  </si>
  <si>
    <t>[0,1,3,5]</t>
  </si>
  <si>
    <t>[0,4,6]</t>
  </si>
  <si>
    <t>[138,128,24,114,128]</t>
  </si>
  <si>
    <t>[39,10,25,26,23,27]</t>
  </si>
  <si>
    <t>[17,37,33,46,45]</t>
  </si>
  <si>
    <t>[10,15,11,11,10]</t>
  </si>
  <si>
    <t>[51,3,22,8,40,19,38,22]</t>
  </si>
  <si>
    <t>[0,1,2,7]</t>
  </si>
  <si>
    <t>[0,2,3,5,6,7]</t>
  </si>
  <si>
    <t>[27,54,40,51,59,21,43]</t>
  </si>
  <si>
    <t>[42,24,37,22,58,55,36,10,31,61]</t>
  </si>
  <si>
    <t>[1,5,9]</t>
  </si>
  <si>
    <t>[3,5,6,8,9]</t>
  </si>
  <si>
    <t>[3,5,7,8]</t>
  </si>
  <si>
    <t>[0,4,7,9]</t>
  </si>
  <si>
    <t>[0,2,4,5,6,8,9]</t>
  </si>
  <si>
    <t>[6,9]</t>
  </si>
  <si>
    <t>[0,4,5,6,7,8]</t>
  </si>
  <si>
    <t>[9]</t>
  </si>
  <si>
    <t>[186,51,198,41,179,178,81,184,184,26]</t>
  </si>
  <si>
    <t>[1,6,8]</t>
  </si>
  <si>
    <t>[2,5,6,9]</t>
  </si>
  <si>
    <t>[0,4,9]</t>
  </si>
  <si>
    <t>[0,1,2,3,5,6,8,9]</t>
  </si>
  <si>
    <t>[0,2,4,5,7,8]</t>
  </si>
  <si>
    <t>[1,2,3,4,5,7,8,9]</t>
  </si>
  <si>
    <t>[0,2,4,5,6,8]</t>
  </si>
  <si>
    <t>[25,62,71,10,53,46,52]</t>
  </si>
  <si>
    <t>[0,1,3,5,6]</t>
  </si>
  <si>
    <t>[11,21,26,22,29,28]</t>
  </si>
  <si>
    <t>[48,36,38,31,46,36]</t>
  </si>
  <si>
    <t>[28,56,15,39,33,33,0]</t>
  </si>
  <si>
    <t>[149,39,175,29,137,32,157,39,37]</t>
  </si>
  <si>
    <t>[0,1,5,6,7]</t>
  </si>
  <si>
    <t>[0,1,2,5,6,7,8]</t>
  </si>
  <si>
    <t>[0,1,3,4,7,8]</t>
  </si>
  <si>
    <t>[27,12,2,12,6,16,25,1]</t>
  </si>
  <si>
    <t>[14,15,13,2,12,12]</t>
  </si>
  <si>
    <t>[41,42,42,178,23,195,51,179,34]</t>
  </si>
  <si>
    <t>[0,3,7,8]</t>
  </si>
  <si>
    <t>[3,5,7]</t>
  </si>
  <si>
    <t>[4,8]</t>
  </si>
  <si>
    <t>[0,1,2,3,5,6,8]</t>
  </si>
  <si>
    <t>[15,53,44,28,70,42,31,50,52,19]</t>
  </si>
  <si>
    <t>[1,2,5,7,8]</t>
  </si>
  <si>
    <t>[0,2,3,9]</t>
  </si>
  <si>
    <t>[2,4,6,7,8,9]</t>
  </si>
  <si>
    <t>[14,16,25,183,17,183,180,175]</t>
  </si>
  <si>
    <t>[3,5,6,7]</t>
  </si>
  <si>
    <t>[48,50,42,60,44,58,49,73,52,60]</t>
  </si>
  <si>
    <t>[0,1,3,4,9]</t>
  </si>
  <si>
    <t>[3,9]</t>
  </si>
  <si>
    <t>[1,2,3,5,7]</t>
  </si>
  <si>
    <t>[0,1,2,4,5,7,8,9]</t>
  </si>
  <si>
    <t>[0,1,2,3,4,5,8,9]</t>
  </si>
  <si>
    <t>[6,7,8,9]</t>
  </si>
  <si>
    <t>[3,4,5,7,8]</t>
  </si>
  <si>
    <t>[209,20,233,241,20,15]</t>
  </si>
  <si>
    <t>[25,28,20,34,10,23,16,16]</t>
  </si>
  <si>
    <t>[26,21,37,25,44,62,45,45,46]</t>
  </si>
  <si>
    <t>[2,3,5,8]</t>
  </si>
  <si>
    <t>[0,1,2,6,7,8]</t>
  </si>
  <si>
    <t>[0,3,4,5,6,7,8]</t>
  </si>
  <si>
    <t>[44,49,74,76,73,30,73,24]</t>
  </si>
  <si>
    <t>[0,1,2,4,6,7]</t>
  </si>
  <si>
    <t>[1,2,3,4,6,7]</t>
  </si>
  <si>
    <t>[0,1,3,4,6]</t>
  </si>
  <si>
    <t>[25,31,57,38,32,30]</t>
  </si>
  <si>
    <t>[29,40,24,30,61,42,25,27]</t>
  </si>
  <si>
    <t>[0,1,2,3,4,5,7]</t>
  </si>
  <si>
    <t>[28,6,21,13]</t>
  </si>
  <si>
    <t>[44,39,28,18]</t>
  </si>
  <si>
    <t>[11,17,6,15,8]</t>
  </si>
  <si>
    <t>[41,39,38,36,51,46,59,43,42,52]</t>
  </si>
  <si>
    <t>[4,9]</t>
  </si>
  <si>
    <t>[0,1,2,5,6,7,8,9]</t>
  </si>
  <si>
    <t>[1,3,4,5,6,8,9]</t>
  </si>
  <si>
    <t>[0,1,3,5,6,7,8]</t>
  </si>
  <si>
    <t>[0,1,4,5,6,7,8,9]</t>
  </si>
  <si>
    <t>[0,1,2,3,5,7,9]</t>
  </si>
  <si>
    <t>[44,46,38,20,77,86,61,44,39,47]</t>
  </si>
  <si>
    <t>[0,1,2,4,6,8]</t>
  </si>
  <si>
    <t>[0,5,6,7,8,9]</t>
  </si>
  <si>
    <t>[2,3,4,5,7,9]</t>
  </si>
  <si>
    <t>[1,2,8,9]</t>
  </si>
  <si>
    <t>[22,16,19,32]</t>
  </si>
  <si>
    <t>[43,73,44,66,59,45,74,56,54]</t>
  </si>
  <si>
    <t>[0,2,3,4,6,7,8]</t>
  </si>
  <si>
    <t>[31,26,9,20,2]</t>
  </si>
  <si>
    <t>[41,45,51,174,154,46,27,37,40,46]</t>
  </si>
  <si>
    <t>[0,3,5,7,9]</t>
  </si>
  <si>
    <t>[1,2,4,5,7,8,9]</t>
  </si>
  <si>
    <t>[41,62,86,64,47,76,39]</t>
  </si>
  <si>
    <t>[0,1,6]</t>
  </si>
  <si>
    <t>[17,32,166,161,166,37,57]</t>
  </si>
  <si>
    <t>[0,2,3,5,6]</t>
  </si>
  <si>
    <t>[24,28,2,15,45,44,53,12]</t>
  </si>
  <si>
    <t>[4,6,7]</t>
  </si>
  <si>
    <t>[159,149,10,26,26]</t>
  </si>
  <si>
    <t>[35,30,44,31,42,20,34,26,10,28]</t>
  </si>
  <si>
    <t>[1,2,4,6,7]</t>
  </si>
  <si>
    <t>[1,2,3,4,7,9]</t>
  </si>
  <si>
    <t>[0,3,4,6,7,8,9]</t>
  </si>
  <si>
    <t>[0,1,2,3,4,8]</t>
  </si>
  <si>
    <t>[0,2,3,4,5,9]</t>
  </si>
  <si>
    <t>[0,1,4,6,9]</t>
  </si>
  <si>
    <t>[29,48,25,33,36,42,43,8,49]</t>
  </si>
  <si>
    <t>[1,8]</t>
  </si>
  <si>
    <t>[6,8]</t>
  </si>
  <si>
    <t>[1,3,4,5,6,7,8]</t>
  </si>
  <si>
    <t>[28,16,35,44,44]</t>
  </si>
  <si>
    <t>[190,21,181,45,179,162,161]</t>
  </si>
  <si>
    <t>[7,41,34,33,40]</t>
  </si>
  <si>
    <t>[162,162,19,143]</t>
  </si>
  <si>
    <t>[51,33,29,25,18,25]</t>
  </si>
  <si>
    <t>[3,3,34,25]</t>
  </si>
  <si>
    <t>[51,11,59,56,35,40,54,51]</t>
  </si>
  <si>
    <t>[0,1,2,4,7]</t>
  </si>
  <si>
    <t>[45,28,13,62,19]</t>
  </si>
  <si>
    <t>[213,50,57,55,27,42,62,200,210,218]</t>
  </si>
  <si>
    <t>[0,1,2,3,4,6,8,9]</t>
  </si>
  <si>
    <t>[2,4,5,6,9]</t>
  </si>
  <si>
    <t>[3,8,9]</t>
  </si>
  <si>
    <t>[1,2,3,4,6,7,8,9]</t>
  </si>
  <si>
    <t>[0,1,2,3,5,6,9]</t>
  </si>
  <si>
    <t>[0,7,8,9]</t>
  </si>
  <si>
    <t>[3,5,6,9]</t>
  </si>
  <si>
    <t>[48,68,39,23,58,60,22]</t>
  </si>
  <si>
    <t>[45,18,22,28,47]</t>
  </si>
  <si>
    <t>[65,69,74,27,36,57,55,43]</t>
  </si>
  <si>
    <t>[0,1,2,4,5,6]</t>
  </si>
  <si>
    <t>[0,3,5,7]</t>
  </si>
  <si>
    <t>[20,29,14,7,27,18,29]</t>
  </si>
  <si>
    <t>[1,2,4,5]</t>
  </si>
  <si>
    <t>[0,1,4,6]</t>
  </si>
  <si>
    <t>[230,28,239,211,204,223,205,237,228,40]</t>
  </si>
  <si>
    <t>[0,1,3,4,5,6,7,8]</t>
  </si>
  <si>
    <t>[1,4,6,9]</t>
  </si>
  <si>
    <t>[2,3,6,7,8,9]</t>
  </si>
  <si>
    <t>[0,2,3,4,5,6,7,8]</t>
  </si>
  <si>
    <t>[0,1,2,3,4,7,8,9]</t>
  </si>
  <si>
    <t>[6,9,8,15,5,7,15]</t>
  </si>
  <si>
    <t>[45,48,50,57,42,57]</t>
  </si>
  <si>
    <t>[17,33,38,29]</t>
  </si>
  <si>
    <t>[27,54,25,31,28,34]</t>
  </si>
  <si>
    <t>[47,27,44,35,30,45,31,27,39]</t>
  </si>
  <si>
    <t>[2,3,4,8]</t>
  </si>
  <si>
    <t>[0,1,2,3,6,7,8]</t>
  </si>
  <si>
    <t>[45,54,49,181,60,23,166]</t>
  </si>
  <si>
    <t>[241,222,57,237,57,237,210,212,212]</t>
  </si>
  <si>
    <t>[0,2,5,8]</t>
  </si>
  <si>
    <t>[0,4,7,8]</t>
  </si>
  <si>
    <t>[50,45,14,52,34,20,44,25]</t>
  </si>
  <si>
    <t>[2,3,4,5,6,7]</t>
  </si>
  <si>
    <t>[0,1,3,4,5,7]</t>
  </si>
  <si>
    <t>[186,204,192,23,31,28,188,194,184]</t>
  </si>
  <si>
    <t>[1,2,4,5,7]</t>
  </si>
  <si>
    <t>[38,53,79,17,48,20,65,58,33,67]</t>
  </si>
  <si>
    <t>[1,2,4,6,7,9]</t>
  </si>
  <si>
    <t>[2,7,9]</t>
  </si>
  <si>
    <t>[0,1,3,4,6,8,9]</t>
  </si>
  <si>
    <t>[2,6,9]</t>
  </si>
  <si>
    <t>[38,47,32,18,17]</t>
  </si>
  <si>
    <t>[54,44,88,56,71,81,56,55,88,71]</t>
  </si>
  <si>
    <t>[1,2,3,4,5,6,7,9]</t>
  </si>
  <si>
    <t>[3,4,5,7,8,9]</t>
  </si>
  <si>
    <t>[0,1,2,4,6,9]</t>
  </si>
  <si>
    <t>[0,2,3,4,5,6,7,9]</t>
  </si>
  <si>
    <t>[3,7,8]</t>
  </si>
  <si>
    <t>[1,2,4,5,6,7,8]</t>
  </si>
  <si>
    <t>[1,8,9]</t>
  </si>
  <si>
    <t>[2,5,8]</t>
  </si>
  <si>
    <t>[106,14,104,11,123]</t>
  </si>
  <si>
    <t>[45,51,57,10,22,31,36]</t>
  </si>
  <si>
    <t>[77,54,43,206,165,178,57,163,165,33]</t>
  </si>
  <si>
    <t>[1,4,5,6,8,9]</t>
  </si>
  <si>
    <t>[0,1,2,3,4,5,6,8]</t>
  </si>
  <si>
    <t>[19,40,74,82,96,52,59,54,56]</t>
  </si>
  <si>
    <t>[2,3,6,7]</t>
  </si>
  <si>
    <t>[2,3,4,5,6,8]</t>
  </si>
  <si>
    <t>[0,3,4,6,7,8]</t>
  </si>
  <si>
    <t>[0,3,4,7]</t>
  </si>
  <si>
    <t>[1,4,7,8]</t>
  </si>
  <si>
    <t>[24,17,17,16,25,16,1]</t>
  </si>
  <si>
    <t>[0,3,4,6]</t>
  </si>
  <si>
    <t>[38,28,51,39,61,18,27,48,42]</t>
  </si>
  <si>
    <t>[1,2,3,5,8]</t>
  </si>
  <si>
    <t>[2,4,7,8]</t>
  </si>
  <si>
    <t>[1,2,3,5,7,8]</t>
  </si>
  <si>
    <t>[0,2,3,4,7,8]</t>
  </si>
  <si>
    <t>[28,36,36,32,24,40,35,6,27,43]</t>
  </si>
  <si>
    <t>[0,1,3,4,5,6,7]</t>
  </si>
  <si>
    <t>[0,1,3,4,5,6,7,9]</t>
  </si>
  <si>
    <t>[0,1,2,4,7,8,9]</t>
  </si>
  <si>
    <t>[2,4,6,9]</t>
  </si>
  <si>
    <t>[0,1,2,5,9]</t>
  </si>
  <si>
    <t>[1,3,5,6,8,9]</t>
  </si>
  <si>
    <t>[16,19,17,21]</t>
  </si>
  <si>
    <t>[174,186,21,20]</t>
  </si>
  <si>
    <t>[16,18,28,28]</t>
  </si>
  <si>
    <t>[39,59,20,48,34,30,17,31,44]</t>
  </si>
  <si>
    <t>[0,3,5,7,8]</t>
  </si>
  <si>
    <t>[1,4,5,6,7]</t>
  </si>
  <si>
    <t>[11,213,12,33,230,26,27,11,40,23]</t>
  </si>
  <si>
    <t>[1,2,3,5,6,8]</t>
  </si>
  <si>
    <t>[1,5,6,9]</t>
  </si>
  <si>
    <t>[2,5,6,8,9]</t>
  </si>
  <si>
    <t>[1,3,4,8]</t>
  </si>
  <si>
    <t>[0,3,8]</t>
  </si>
  <si>
    <t>[0,3,4,5,6,7,8,9]</t>
  </si>
  <si>
    <t>[1,2,4,6,9]</t>
  </si>
  <si>
    <t>[43,26,39,19,39,47,36,52,39]</t>
  </si>
  <si>
    <t>[2,5,6,7,8]</t>
  </si>
  <si>
    <t>[0,2,3,5,7,8]</t>
  </si>
  <si>
    <t>[1,4,5,7,8]</t>
  </si>
  <si>
    <t>[184,38,30,194,18,43,178]</t>
  </si>
  <si>
    <t>[23,46,16,23,19]</t>
  </si>
  <si>
    <t>[29,69,76,47,68,245,70,62,94,55]</t>
  </si>
  <si>
    <t>[1,2,4,6,7,8]</t>
  </si>
  <si>
    <t>[0,1,2,5,7,8,9]</t>
  </si>
  <si>
    <t>[1,2,5,6,9]</t>
  </si>
  <si>
    <t>[1,2,5,6,7,8,9]</t>
  </si>
  <si>
    <t>[5,6,8,9]</t>
  </si>
  <si>
    <t>[0,1,3,4,5,7,8,9]</t>
  </si>
  <si>
    <t>[2,3,4,5,6,8,9]</t>
  </si>
  <si>
    <t>[0,3,9]</t>
  </si>
  <si>
    <t>[205,202,19,167,29,232,201,195,205]</t>
  </si>
  <si>
    <t>[5,6,7,8]</t>
  </si>
  <si>
    <t>[0,1,2,5,7,8]</t>
  </si>
  <si>
    <t>[40,53,42,30,43,19,32,29,22]</t>
  </si>
  <si>
    <t>[1,3,6,8]</t>
  </si>
  <si>
    <t>[143,162,162,19]</t>
  </si>
  <si>
    <t>[87,106,85,61,44,94,32,85,59]</t>
  </si>
  <si>
    <t>[1,3,5,8]</t>
  </si>
  <si>
    <t>[0,2,4,5,8]</t>
  </si>
  <si>
    <t>[0,1,4,6,7,8]</t>
  </si>
  <si>
    <t>[0,2,5,7]</t>
  </si>
  <si>
    <t>[0,1,2,3,5,6,7]</t>
  </si>
  <si>
    <t>[4,12,13,17]</t>
  </si>
  <si>
    <t>[21,16,8,27,13]</t>
  </si>
  <si>
    <t>[122,126,2,6,17,120,126]</t>
  </si>
  <si>
    <t>MaxSingle</t>
  </si>
  <si>
    <t>2025-12-10 21:16:11.7979|DEBUG|44248| 2| - Test: key=[1] sw1=[[0,1,3,5,7,8], 14] sw2=[[1,2,3,4,5,6,7], 11]  sw3=[[0,1,2,3,4,7], 0]  sw4=[[1,2,3,5,6,7], 18]  sw5=[null, 0]</t>
  </si>
  <si>
    <t>275?</t>
  </si>
  <si>
    <t>295?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</si>
</sst>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theme="1" tint="0.499984740745262"/>
      <name val="Consolas"/>
      <family val="3"/>
    </font>
    <font>
      <b/>
      <sz val="10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4" borderId="0" xfId="0" applyFont="1" applyFill="1"/>
    <xf numFmtId="0" fontId="2" fillId="4" borderId="0" xfId="0" applyFont="1" applyFill="1"/>
    <xf numFmtId="0" fontId="1" fillId="5" borderId="0" xfId="0" applyFont="1" applyFill="1"/>
    <xf numFmtId="0" fontId="2" fillId="5" borderId="0" xfId="0" applyFont="1" applyFill="1"/>
    <xf numFmtId="0" fontId="1" fillId="6" borderId="0" xfId="0" applyFont="1" applyFill="1"/>
    <xf numFmtId="0" fontId="3" fillId="4" borderId="0" xfId="0" applyFont="1" applyFill="1"/>
    <xf numFmtId="0" fontId="1" fillId="0" borderId="0" xfId="0" quotePrefix="1" applyFont="1"/>
    <xf numFmtId="0" fontId="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C7C1-62B2-4911-A1E1-B4C435841416}">
  <dimension ref="A1:R12"/>
  <sheetViews>
    <sheetView workbookViewId="0">
      <selection activeCell="N1" sqref="N1"/>
    </sheetView>
  </sheetViews>
  <sheetFormatPr defaultRowHeight="15" x14ac:dyDescent="0.25"/>
  <cols>
    <col min="1" max="1" width="51.28515625" customWidth="1"/>
    <col min="2" max="6" width="7.5703125" customWidth="1"/>
    <col min="7" max="7" width="5" customWidth="1"/>
    <col min="8" max="12" width="7" customWidth="1"/>
    <col min="13" max="13" width="4.7109375" customWidth="1"/>
  </cols>
  <sheetData>
    <row r="1" spans="1:18" x14ac:dyDescent="0.25">
      <c r="A1" t="s">
        <v>0</v>
      </c>
      <c r="B1">
        <v>2</v>
      </c>
      <c r="C1">
        <v>7</v>
      </c>
      <c r="D1">
        <v>2</v>
      </c>
      <c r="E1">
        <v>5</v>
      </c>
      <c r="F1">
        <v>2</v>
      </c>
      <c r="H1">
        <v>2</v>
      </c>
      <c r="I1">
        <v>5</v>
      </c>
      <c r="J1">
        <v>0</v>
      </c>
      <c r="K1">
        <v>5</v>
      </c>
      <c r="L1">
        <v>0</v>
      </c>
      <c r="N1">
        <f>H1+J1+K1</f>
        <v>7</v>
      </c>
      <c r="O1">
        <f>K1+L1</f>
        <v>5</v>
      </c>
      <c r="P1">
        <f>H1+I1+K1+L1</f>
        <v>12</v>
      </c>
      <c r="Q1">
        <f>H1+I1+L1</f>
        <v>7</v>
      </c>
      <c r="R1">
        <f>H1+J1+L1</f>
        <v>2</v>
      </c>
    </row>
    <row r="11" spans="1:18" x14ac:dyDescent="0.25">
      <c r="A11" t="s">
        <v>1</v>
      </c>
      <c r="B11" s="1" t="s">
        <v>3</v>
      </c>
      <c r="C11">
        <v>9</v>
      </c>
      <c r="D11" s="1" t="s">
        <v>4</v>
      </c>
      <c r="E11">
        <v>14</v>
      </c>
    </row>
    <row r="12" spans="1:18" x14ac:dyDescent="0.25">
      <c r="A1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A6C8-9E5F-43CE-AEE9-9C617AF16259}">
  <dimension ref="A1:BC3"/>
  <sheetViews>
    <sheetView workbookViewId="0">
      <selection activeCell="C4" sqref="C4"/>
    </sheetView>
  </sheetViews>
  <sheetFormatPr defaultRowHeight="15" x14ac:dyDescent="0.25"/>
  <cols>
    <col min="1" max="1" width="15.42578125" bestFit="1" customWidth="1"/>
  </cols>
  <sheetData>
    <row r="1" spans="1:55" x14ac:dyDescent="0.25">
      <c r="A1" t="s">
        <v>5</v>
      </c>
      <c r="B1" t="s">
        <v>6</v>
      </c>
      <c r="C1">
        <v>0</v>
      </c>
      <c r="D1" t="s">
        <v>7</v>
      </c>
      <c r="E1">
        <v>0</v>
      </c>
      <c r="F1" t="s">
        <v>8</v>
      </c>
      <c r="G1">
        <v>0</v>
      </c>
      <c r="H1" t="s">
        <v>9</v>
      </c>
      <c r="I1">
        <v>0</v>
      </c>
      <c r="J1" t="s">
        <v>10</v>
      </c>
      <c r="K1">
        <v>0</v>
      </c>
      <c r="L1" t="s">
        <v>11</v>
      </c>
      <c r="M1">
        <v>0</v>
      </c>
      <c r="AF1" t="s">
        <v>22</v>
      </c>
      <c r="AG1">
        <f>(+K1+M1)</f>
        <v>0</v>
      </c>
      <c r="AH1">
        <f>(+E1+M1)</f>
        <v>0</v>
      </c>
      <c r="AI1">
        <f>(+G1+I1+K1)</f>
        <v>0</v>
      </c>
      <c r="AJ1">
        <f>(+C1+E1+I1)</f>
        <v>0</v>
      </c>
      <c r="AV1" t="s">
        <v>22</v>
      </c>
      <c r="AW1">
        <v>3</v>
      </c>
      <c r="AX1">
        <v>5</v>
      </c>
      <c r="AY1">
        <v>4</v>
      </c>
      <c r="AZ1">
        <v>7</v>
      </c>
      <c r="BA1" t="s">
        <v>22</v>
      </c>
    </row>
    <row r="2" spans="1:55" x14ac:dyDescent="0.25">
      <c r="A2" t="s">
        <v>12</v>
      </c>
      <c r="B2" t="s">
        <v>13</v>
      </c>
      <c r="C2">
        <v>0</v>
      </c>
      <c r="D2" t="s">
        <v>9</v>
      </c>
      <c r="E2">
        <v>0</v>
      </c>
      <c r="F2" t="s">
        <v>14</v>
      </c>
      <c r="G2">
        <v>0</v>
      </c>
      <c r="H2" t="s">
        <v>15</v>
      </c>
      <c r="I2">
        <v>0</v>
      </c>
      <c r="J2" t="s">
        <v>16</v>
      </c>
      <c r="K2">
        <v>0</v>
      </c>
      <c r="AF2" t="s">
        <v>22</v>
      </c>
      <c r="AG2">
        <f>(+C2+G2+I2)</f>
        <v>0</v>
      </c>
      <c r="AH2">
        <f>(+I2+K2)</f>
        <v>0</v>
      </c>
      <c r="AI2">
        <f>(+C2+E2+I2+K2)</f>
        <v>0</v>
      </c>
      <c r="AJ2">
        <f>(+C2+E2+K2)</f>
        <v>0</v>
      </c>
      <c r="AK2">
        <f>(+C2+G2+K2)</f>
        <v>0</v>
      </c>
      <c r="AV2" t="s">
        <v>22</v>
      </c>
      <c r="AW2">
        <v>7</v>
      </c>
      <c r="AX2">
        <v>5</v>
      </c>
      <c r="AY2">
        <v>12</v>
      </c>
      <c r="AZ2">
        <v>7</v>
      </c>
      <c r="BA2">
        <v>2</v>
      </c>
      <c r="BB2" t="s">
        <v>22</v>
      </c>
    </row>
    <row r="3" spans="1:55" x14ac:dyDescent="0.25">
      <c r="A3" t="s">
        <v>17</v>
      </c>
      <c r="B3" t="s">
        <v>18</v>
      </c>
      <c r="C3">
        <v>0</v>
      </c>
      <c r="D3" t="s">
        <v>19</v>
      </c>
      <c r="E3">
        <v>0</v>
      </c>
      <c r="F3" t="s">
        <v>20</v>
      </c>
      <c r="G3">
        <v>0</v>
      </c>
      <c r="H3" t="s">
        <v>21</v>
      </c>
      <c r="I3">
        <v>0</v>
      </c>
      <c r="AF3" t="s">
        <v>22</v>
      </c>
      <c r="AG3">
        <f>(+C3+E3+G3)</f>
        <v>0</v>
      </c>
      <c r="AH3">
        <f>(+C3+G3+I3)</f>
        <v>0</v>
      </c>
      <c r="AI3">
        <f>(+C3+G3+I3)</f>
        <v>0</v>
      </c>
      <c r="AJ3">
        <f>(+C3+E3)</f>
        <v>0</v>
      </c>
      <c r="AK3">
        <f>(+C3+E3+G3)</f>
        <v>0</v>
      </c>
      <c r="AL3">
        <f>(+G3)</f>
        <v>0</v>
      </c>
      <c r="AV3" t="s">
        <v>22</v>
      </c>
      <c r="AW3">
        <v>10</v>
      </c>
      <c r="AX3">
        <v>11</v>
      </c>
      <c r="AY3">
        <v>11</v>
      </c>
      <c r="AZ3">
        <v>5</v>
      </c>
      <c r="BA3">
        <v>10</v>
      </c>
      <c r="BB3">
        <v>5</v>
      </c>
      <c r="BC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A4869-748D-4AD3-AD86-3067947C48D8}">
  <dimension ref="A1:BG197"/>
  <sheetViews>
    <sheetView workbookViewId="0">
      <selection activeCell="A15" sqref="A15:G15"/>
    </sheetView>
  </sheetViews>
  <sheetFormatPr defaultRowHeight="15" x14ac:dyDescent="0.25"/>
  <cols>
    <col min="4" max="4" width="15.85546875" customWidth="1"/>
  </cols>
  <sheetData>
    <row r="1" spans="1:59" x14ac:dyDescent="0.25">
      <c r="A1" t="s">
        <v>23</v>
      </c>
      <c r="B1" t="s">
        <v>24</v>
      </c>
      <c r="C1">
        <v>0</v>
      </c>
      <c r="D1" t="s">
        <v>25</v>
      </c>
      <c r="E1">
        <v>0</v>
      </c>
      <c r="F1" t="s">
        <v>26</v>
      </c>
      <c r="G1">
        <v>0</v>
      </c>
      <c r="H1" t="s">
        <v>27</v>
      </c>
      <c r="I1">
        <v>0</v>
      </c>
      <c r="J1" t="s">
        <v>28</v>
      </c>
      <c r="K1">
        <v>0</v>
      </c>
      <c r="AF1" t="s">
        <v>22</v>
      </c>
      <c r="AG1">
        <f>(+G1+I1)</f>
        <v>0</v>
      </c>
      <c r="AH1">
        <f>(+I1+K1)</f>
        <v>0</v>
      </c>
      <c r="AI1">
        <f>(+C1+G1+I1)</f>
        <v>0</v>
      </c>
      <c r="AJ1">
        <f>(+E1+G1+I1+K1)</f>
        <v>0</v>
      </c>
      <c r="AK1">
        <f>(+C1+E1+K1)</f>
        <v>0</v>
      </c>
      <c r="AL1">
        <f>(+G1+K1)</f>
        <v>0</v>
      </c>
      <c r="AV1" t="s">
        <v>22</v>
      </c>
      <c r="AW1">
        <v>26</v>
      </c>
      <c r="AX1">
        <v>32</v>
      </c>
      <c r="AY1">
        <v>28</v>
      </c>
      <c r="AZ1">
        <v>47</v>
      </c>
      <c r="BA1">
        <v>23</v>
      </c>
      <c r="BB1">
        <v>20</v>
      </c>
      <c r="BC1" t="s">
        <v>22</v>
      </c>
    </row>
    <row r="2" spans="1:59" x14ac:dyDescent="0.25">
      <c r="A2" t="s">
        <v>29</v>
      </c>
      <c r="B2" t="s">
        <v>30</v>
      </c>
      <c r="C2">
        <v>0</v>
      </c>
      <c r="D2" t="s">
        <v>31</v>
      </c>
      <c r="E2">
        <v>0</v>
      </c>
      <c r="F2" t="s">
        <v>32</v>
      </c>
      <c r="G2">
        <v>0</v>
      </c>
      <c r="H2" t="s">
        <v>9</v>
      </c>
      <c r="I2">
        <v>0</v>
      </c>
      <c r="J2" t="s">
        <v>33</v>
      </c>
      <c r="K2">
        <v>0</v>
      </c>
      <c r="L2" t="s">
        <v>34</v>
      </c>
      <c r="M2">
        <v>0</v>
      </c>
      <c r="N2" t="s">
        <v>35</v>
      </c>
      <c r="O2">
        <v>0</v>
      </c>
      <c r="P2" t="s">
        <v>24</v>
      </c>
      <c r="Q2">
        <v>0</v>
      </c>
      <c r="R2" t="s">
        <v>36</v>
      </c>
      <c r="S2">
        <v>0</v>
      </c>
      <c r="AF2" t="s">
        <v>22</v>
      </c>
      <c r="AG2">
        <f>(+C2+G2+K2+M2+S2)</f>
        <v>0</v>
      </c>
      <c r="AH2">
        <f>(+C2+E2+S2)</f>
        <v>0</v>
      </c>
      <c r="AI2">
        <f>(+C2+E2+I2+K2+M2+Q2+S2)</f>
        <v>0</v>
      </c>
      <c r="AJ2">
        <f>(+I2+K2+M2+O2)</f>
        <v>0</v>
      </c>
      <c r="AK2">
        <f>(+C2+E2+K2+M2+O2+Q2)</f>
        <v>0</v>
      </c>
      <c r="AL2">
        <f>(+K2+M2+O2+S2)</f>
        <v>0</v>
      </c>
      <c r="AM2">
        <f>(+C2+E2+G2+K2+O2+S2)</f>
        <v>0</v>
      </c>
      <c r="AV2" t="s">
        <v>22</v>
      </c>
      <c r="AW2">
        <v>58</v>
      </c>
      <c r="AX2">
        <v>41</v>
      </c>
      <c r="AY2">
        <v>286</v>
      </c>
      <c r="AZ2">
        <v>233</v>
      </c>
      <c r="BA2">
        <v>79</v>
      </c>
      <c r="BB2">
        <v>43</v>
      </c>
      <c r="BC2">
        <v>63</v>
      </c>
      <c r="BD2" t="s">
        <v>22</v>
      </c>
    </row>
    <row r="3" spans="1:59" x14ac:dyDescent="0.25">
      <c r="A3" t="s">
        <v>37</v>
      </c>
      <c r="B3" t="s">
        <v>38</v>
      </c>
      <c r="C3">
        <v>0</v>
      </c>
      <c r="D3" t="s">
        <v>21</v>
      </c>
      <c r="E3">
        <v>0</v>
      </c>
      <c r="F3" t="s">
        <v>39</v>
      </c>
      <c r="G3">
        <v>0</v>
      </c>
      <c r="H3" t="s">
        <v>9</v>
      </c>
      <c r="I3">
        <v>0</v>
      </c>
      <c r="J3" t="s">
        <v>40</v>
      </c>
      <c r="K3">
        <v>0</v>
      </c>
      <c r="AF3" t="s">
        <v>22</v>
      </c>
      <c r="AG3">
        <f>(+G3+K3)</f>
        <v>0</v>
      </c>
      <c r="AH3">
        <f>(+C3+E3+G3)</f>
        <v>0</v>
      </c>
      <c r="AI3">
        <f>(+E3+I3+K3)</f>
        <v>0</v>
      </c>
      <c r="AJ3">
        <f>(+G3+I3+K3)</f>
        <v>0</v>
      </c>
      <c r="AV3" t="s">
        <v>22</v>
      </c>
      <c r="AW3">
        <v>32</v>
      </c>
      <c r="AX3">
        <v>29</v>
      </c>
      <c r="AY3">
        <v>35</v>
      </c>
      <c r="AZ3">
        <v>51</v>
      </c>
      <c r="BA3" t="s">
        <v>22</v>
      </c>
    </row>
    <row r="4" spans="1:59" x14ac:dyDescent="0.25">
      <c r="A4" t="s">
        <v>41</v>
      </c>
      <c r="B4" t="s">
        <v>42</v>
      </c>
      <c r="C4">
        <v>0</v>
      </c>
      <c r="D4" t="s">
        <v>43</v>
      </c>
      <c r="E4">
        <v>0</v>
      </c>
      <c r="F4" t="s">
        <v>44</v>
      </c>
      <c r="G4">
        <v>0</v>
      </c>
      <c r="H4" t="s">
        <v>45</v>
      </c>
      <c r="I4">
        <v>0</v>
      </c>
      <c r="J4" t="s">
        <v>18</v>
      </c>
      <c r="K4">
        <v>0</v>
      </c>
      <c r="L4" t="s">
        <v>46</v>
      </c>
      <c r="M4">
        <v>0</v>
      </c>
      <c r="N4" t="s">
        <v>47</v>
      </c>
      <c r="O4">
        <v>0</v>
      </c>
      <c r="P4" t="s">
        <v>48</v>
      </c>
      <c r="Q4">
        <v>0</v>
      </c>
      <c r="AF4" t="s">
        <v>22</v>
      </c>
      <c r="AG4">
        <f>(+I4+K4+M4+O4)</f>
        <v>0</v>
      </c>
      <c r="AH4">
        <f>(+C4+K4+M4)</f>
        <v>0</v>
      </c>
      <c r="AI4">
        <f>(+C4+E4+K4)</f>
        <v>0</v>
      </c>
      <c r="AJ4">
        <f>(+K4+O4+Q4)</f>
        <v>0</v>
      </c>
      <c r="AK4">
        <f>(+C4+E4+G4+K4)</f>
        <v>0</v>
      </c>
      <c r="AL4">
        <f>(+E4+G4+I4+M4+Q4)</f>
        <v>0</v>
      </c>
      <c r="AV4" t="s">
        <v>22</v>
      </c>
      <c r="AW4">
        <v>55</v>
      </c>
      <c r="AX4">
        <v>40</v>
      </c>
      <c r="AY4">
        <v>39</v>
      </c>
      <c r="AZ4">
        <v>33</v>
      </c>
      <c r="BA4">
        <v>42</v>
      </c>
      <c r="BB4">
        <v>56</v>
      </c>
      <c r="BC4" t="s">
        <v>22</v>
      </c>
    </row>
    <row r="5" spans="1:59" x14ac:dyDescent="0.25">
      <c r="A5" t="s">
        <v>49</v>
      </c>
      <c r="B5" t="s">
        <v>50</v>
      </c>
      <c r="C5">
        <v>0</v>
      </c>
      <c r="D5" t="s">
        <v>15</v>
      </c>
      <c r="E5">
        <v>0</v>
      </c>
      <c r="AF5" t="s">
        <v>22</v>
      </c>
      <c r="AG5">
        <f>(+E5)</f>
        <v>0</v>
      </c>
      <c r="AH5">
        <f>(+C5+E5)</f>
        <v>0</v>
      </c>
      <c r="AI5">
        <f>(+C5+E5)</f>
        <v>0</v>
      </c>
      <c r="AJ5">
        <f>(+C5)</f>
        <v>0</v>
      </c>
      <c r="AV5" t="s">
        <v>22</v>
      </c>
      <c r="AW5">
        <v>0</v>
      </c>
      <c r="AX5">
        <v>4</v>
      </c>
      <c r="AY5">
        <v>4</v>
      </c>
      <c r="AZ5">
        <v>4</v>
      </c>
      <c r="BA5" t="s">
        <v>22</v>
      </c>
    </row>
    <row r="6" spans="1:59" x14ac:dyDescent="0.25">
      <c r="A6" t="s">
        <v>51</v>
      </c>
      <c r="B6" t="s">
        <v>11</v>
      </c>
      <c r="C6">
        <v>0</v>
      </c>
      <c r="D6" t="s">
        <v>39</v>
      </c>
      <c r="E6">
        <v>0</v>
      </c>
      <c r="F6" t="s">
        <v>52</v>
      </c>
      <c r="G6">
        <v>0</v>
      </c>
      <c r="H6" t="s">
        <v>40</v>
      </c>
      <c r="I6">
        <v>0</v>
      </c>
      <c r="J6" t="s">
        <v>24</v>
      </c>
      <c r="K6">
        <v>0</v>
      </c>
      <c r="L6" t="s">
        <v>9</v>
      </c>
      <c r="M6">
        <v>0</v>
      </c>
      <c r="N6" t="s">
        <v>25</v>
      </c>
      <c r="O6">
        <v>0</v>
      </c>
      <c r="AF6" t="s">
        <v>22</v>
      </c>
      <c r="AG6">
        <f>(+C6+E6+I6)</f>
        <v>0</v>
      </c>
      <c r="AH6">
        <f>(+C6+E6)</f>
        <v>0</v>
      </c>
      <c r="AI6">
        <f>(+I6+K6+M6)</f>
        <v>0</v>
      </c>
      <c r="AJ6">
        <f>(+E6+I6+M6+O6)</f>
        <v>0</v>
      </c>
      <c r="AK6">
        <f>(+G6+K6+O6)</f>
        <v>0</v>
      </c>
      <c r="AV6" t="s">
        <v>22</v>
      </c>
      <c r="AW6">
        <v>197</v>
      </c>
      <c r="AX6">
        <v>32</v>
      </c>
      <c r="AY6">
        <v>188</v>
      </c>
      <c r="AZ6">
        <v>210</v>
      </c>
      <c r="BA6">
        <v>37</v>
      </c>
      <c r="BB6" t="s">
        <v>22</v>
      </c>
    </row>
    <row r="7" spans="1:59" x14ac:dyDescent="0.25">
      <c r="A7" t="s">
        <v>53</v>
      </c>
      <c r="B7" t="s">
        <v>54</v>
      </c>
      <c r="C7">
        <v>0</v>
      </c>
      <c r="D7" t="s">
        <v>55</v>
      </c>
      <c r="E7">
        <v>0</v>
      </c>
      <c r="F7" t="s">
        <v>56</v>
      </c>
      <c r="G7">
        <v>0</v>
      </c>
      <c r="H7" t="s">
        <v>57</v>
      </c>
      <c r="I7">
        <v>0</v>
      </c>
      <c r="J7" t="s">
        <v>58</v>
      </c>
      <c r="K7">
        <v>0</v>
      </c>
      <c r="AF7" t="s">
        <v>22</v>
      </c>
      <c r="AG7">
        <f>(+E7)</f>
        <v>0</v>
      </c>
      <c r="AH7">
        <f>(+C7+E7+I7)</f>
        <v>0</v>
      </c>
      <c r="AI7">
        <f>(+C7+E7+G7+I7+K7)</f>
        <v>0</v>
      </c>
      <c r="AJ7">
        <f>(+C7+E7+K7)</f>
        <v>0</v>
      </c>
      <c r="AK7">
        <f>(+K7)</f>
        <v>0</v>
      </c>
      <c r="AL7">
        <f>(+C7+E7+G7+K7)</f>
        <v>0</v>
      </c>
      <c r="AM7">
        <f>(+C7+E7+I7)</f>
        <v>0</v>
      </c>
      <c r="AV7" t="s">
        <v>22</v>
      </c>
      <c r="AW7">
        <v>14</v>
      </c>
      <c r="AX7">
        <v>43</v>
      </c>
      <c r="AY7">
        <v>68</v>
      </c>
      <c r="AZ7">
        <v>43</v>
      </c>
      <c r="BA7">
        <v>11</v>
      </c>
      <c r="BB7">
        <v>57</v>
      </c>
      <c r="BC7">
        <v>43</v>
      </c>
      <c r="BD7" t="s">
        <v>22</v>
      </c>
    </row>
    <row r="8" spans="1:59" x14ac:dyDescent="0.25">
      <c r="A8" t="s">
        <v>59</v>
      </c>
      <c r="B8" t="s">
        <v>40</v>
      </c>
      <c r="C8">
        <v>0</v>
      </c>
      <c r="D8" t="s">
        <v>50</v>
      </c>
      <c r="E8">
        <v>0</v>
      </c>
      <c r="F8" t="s">
        <v>10</v>
      </c>
      <c r="G8">
        <v>0</v>
      </c>
      <c r="H8" t="s">
        <v>47</v>
      </c>
      <c r="I8">
        <v>0</v>
      </c>
      <c r="AF8" t="s">
        <v>22</v>
      </c>
      <c r="AG8">
        <f>(+C8+G8+I8)</f>
        <v>0</v>
      </c>
      <c r="AH8">
        <f>(+E8)</f>
        <v>0</v>
      </c>
      <c r="AI8">
        <f>(+C8+E8+G8)</f>
        <v>0</v>
      </c>
      <c r="AJ8">
        <f>(+C8+E8+I8)</f>
        <v>0</v>
      </c>
      <c r="AV8" t="s">
        <v>22</v>
      </c>
      <c r="AW8">
        <v>21</v>
      </c>
      <c r="AX8">
        <v>14</v>
      </c>
      <c r="AY8">
        <v>32</v>
      </c>
      <c r="AZ8">
        <v>24</v>
      </c>
      <c r="BA8" t="s">
        <v>22</v>
      </c>
    </row>
    <row r="9" spans="1:59" x14ac:dyDescent="0.25">
      <c r="A9" t="s">
        <v>60</v>
      </c>
      <c r="B9" t="s">
        <v>61</v>
      </c>
      <c r="C9">
        <v>0</v>
      </c>
      <c r="D9" t="s">
        <v>62</v>
      </c>
      <c r="E9">
        <v>0</v>
      </c>
      <c r="F9" t="s">
        <v>63</v>
      </c>
      <c r="G9">
        <v>0</v>
      </c>
      <c r="H9" t="s">
        <v>64</v>
      </c>
      <c r="I9">
        <v>0</v>
      </c>
      <c r="J9" t="s">
        <v>65</v>
      </c>
      <c r="K9">
        <v>0</v>
      </c>
      <c r="L9" t="s">
        <v>66</v>
      </c>
      <c r="M9">
        <v>0</v>
      </c>
      <c r="N9" t="s">
        <v>67</v>
      </c>
      <c r="O9">
        <v>0</v>
      </c>
      <c r="P9" t="s">
        <v>68</v>
      </c>
      <c r="Q9">
        <v>0</v>
      </c>
      <c r="R9" t="s">
        <v>69</v>
      </c>
      <c r="S9">
        <v>0</v>
      </c>
      <c r="T9" t="s">
        <v>70</v>
      </c>
      <c r="U9">
        <v>0</v>
      </c>
      <c r="AF9" t="s">
        <v>22</v>
      </c>
      <c r="AG9">
        <f>(+E9+G9+O9+Q9+U9)</f>
        <v>0</v>
      </c>
      <c r="AH9">
        <f>(+C9+S9+U9)</f>
        <v>0</v>
      </c>
      <c r="AI9">
        <f>(+C9+E9+G9+K9+M9+S9+U9)</f>
        <v>0</v>
      </c>
      <c r="AJ9">
        <f>(+C9+K9+Q9+S9+U9)</f>
        <v>0</v>
      </c>
      <c r="AK9">
        <f>(+E9+G9+I9+U9)</f>
        <v>0</v>
      </c>
      <c r="AL9">
        <f>(+C9+I9+S9+U9)</f>
        <v>0</v>
      </c>
      <c r="AM9">
        <f>(+C9+E9+G9+I9+M9+O9+S9)</f>
        <v>0</v>
      </c>
      <c r="AN9">
        <f>(+C9+E9+G9+K9+M9+O9+Q9+S9+U9)</f>
        <v>0</v>
      </c>
      <c r="AO9">
        <f>(+C9+E9+G9+I9+K9+M9+U9)</f>
        <v>0</v>
      </c>
      <c r="AP9">
        <f>(+C9+E9+I9+K9+M9+S9)</f>
        <v>0</v>
      </c>
      <c r="AV9" t="s">
        <v>22</v>
      </c>
      <c r="AW9">
        <v>77</v>
      </c>
      <c r="AX9">
        <v>29</v>
      </c>
      <c r="AY9">
        <v>90</v>
      </c>
      <c r="AZ9">
        <v>62</v>
      </c>
      <c r="BA9">
        <v>55</v>
      </c>
      <c r="BB9">
        <v>29</v>
      </c>
      <c r="BC9">
        <v>62</v>
      </c>
      <c r="BD9">
        <v>112</v>
      </c>
      <c r="BE9">
        <v>79</v>
      </c>
      <c r="BF9">
        <v>55</v>
      </c>
      <c r="BG9" t="s">
        <v>22</v>
      </c>
    </row>
    <row r="10" spans="1:59" x14ac:dyDescent="0.25">
      <c r="A10" t="s">
        <v>71</v>
      </c>
      <c r="B10" t="s">
        <v>72</v>
      </c>
      <c r="C10">
        <v>0</v>
      </c>
      <c r="D10" t="s">
        <v>73</v>
      </c>
      <c r="E10">
        <v>0</v>
      </c>
      <c r="F10" t="s">
        <v>74</v>
      </c>
      <c r="G10">
        <v>0</v>
      </c>
      <c r="H10" t="s">
        <v>75</v>
      </c>
      <c r="I10">
        <v>0</v>
      </c>
      <c r="J10" t="s">
        <v>76</v>
      </c>
      <c r="K10">
        <v>0</v>
      </c>
      <c r="L10" t="s">
        <v>77</v>
      </c>
      <c r="M10">
        <v>0</v>
      </c>
      <c r="N10" t="s">
        <v>78</v>
      </c>
      <c r="O10">
        <v>0</v>
      </c>
      <c r="P10" t="s">
        <v>79</v>
      </c>
      <c r="Q10">
        <v>0</v>
      </c>
      <c r="AF10" t="s">
        <v>22</v>
      </c>
      <c r="AG10">
        <f>(+C10+G10+I10+Q10)</f>
        <v>0</v>
      </c>
      <c r="AH10">
        <f>(+C10+E10+K10)</f>
        <v>0</v>
      </c>
      <c r="AI10">
        <f>(+E10+G10+K10+M10+O10)</f>
        <v>0</v>
      </c>
      <c r="AJ10">
        <f>(+E10+G10+Q10)</f>
        <v>0</v>
      </c>
      <c r="AK10">
        <f>(+C10+G10+I10+O10+Q10)</f>
        <v>0</v>
      </c>
      <c r="AL10">
        <f>(+E10+G10+I10+M10)</f>
        <v>0</v>
      </c>
      <c r="AM10">
        <f>(+C10+E10+G10+I10+O10+Q10)</f>
        <v>0</v>
      </c>
      <c r="AN10">
        <f>(+I10+O10)</f>
        <v>0</v>
      </c>
      <c r="AO10">
        <f>(+C10+E10+G10)</f>
        <v>0</v>
      </c>
      <c r="AP10">
        <f>(+C10+E10+K10+M10+Q10)</f>
        <v>0</v>
      </c>
      <c r="AV10" t="s">
        <v>22</v>
      </c>
      <c r="AW10">
        <v>52</v>
      </c>
      <c r="AX10">
        <v>30</v>
      </c>
      <c r="AY10">
        <v>67</v>
      </c>
      <c r="AZ10">
        <v>53</v>
      </c>
      <c r="BA10">
        <v>55</v>
      </c>
      <c r="BB10">
        <v>67</v>
      </c>
      <c r="BC10">
        <v>72</v>
      </c>
      <c r="BD10">
        <v>17</v>
      </c>
      <c r="BE10">
        <v>36</v>
      </c>
      <c r="BF10">
        <v>68</v>
      </c>
      <c r="BG10" t="s">
        <v>22</v>
      </c>
    </row>
    <row r="11" spans="1:59" x14ac:dyDescent="0.25">
      <c r="A11" t="s">
        <v>80</v>
      </c>
      <c r="B11" t="s">
        <v>11</v>
      </c>
      <c r="C11">
        <v>0</v>
      </c>
      <c r="D11" t="s">
        <v>81</v>
      </c>
      <c r="E11">
        <v>0</v>
      </c>
      <c r="F11" t="s">
        <v>82</v>
      </c>
      <c r="G11">
        <v>0</v>
      </c>
      <c r="H11" t="s">
        <v>83</v>
      </c>
      <c r="I11">
        <v>0</v>
      </c>
      <c r="J11" t="s">
        <v>84</v>
      </c>
      <c r="K11">
        <v>0</v>
      </c>
      <c r="L11" t="s">
        <v>85</v>
      </c>
      <c r="M11">
        <v>0</v>
      </c>
      <c r="N11" t="s">
        <v>86</v>
      </c>
      <c r="O11">
        <v>0</v>
      </c>
      <c r="P11" t="s">
        <v>87</v>
      </c>
      <c r="Q11">
        <v>0</v>
      </c>
      <c r="R11" t="s">
        <v>16</v>
      </c>
      <c r="S11">
        <v>0</v>
      </c>
      <c r="AF11" t="s">
        <v>22</v>
      </c>
      <c r="AG11">
        <f>(+C11+E11+K11+O11)</f>
        <v>0</v>
      </c>
      <c r="AH11">
        <f>(+C11+E11+M11+O11+Q11+S11)</f>
        <v>0</v>
      </c>
      <c r="AI11">
        <f>(+E11+M11+O11+S11)</f>
        <v>0</v>
      </c>
      <c r="AJ11">
        <f>(+E11+G11+I11+K11+M11+Q11+S11)</f>
        <v>0</v>
      </c>
      <c r="AK11">
        <f>(+E11+G11+O11+S11)</f>
        <v>0</v>
      </c>
      <c r="AL11">
        <f>(+I11+O11)</f>
        <v>0</v>
      </c>
      <c r="AM11">
        <f>(+I11+K11+M11+O11+Q11)</f>
        <v>0</v>
      </c>
      <c r="AN11">
        <f>(+E11+G11+O11)</f>
        <v>0</v>
      </c>
      <c r="AO11">
        <f>(+K11+M11)</f>
        <v>0</v>
      </c>
      <c r="AV11" t="s">
        <v>22</v>
      </c>
      <c r="AW11">
        <v>57</v>
      </c>
      <c r="AX11">
        <v>51</v>
      </c>
      <c r="AY11">
        <v>30</v>
      </c>
      <c r="AZ11">
        <v>56</v>
      </c>
      <c r="BA11">
        <v>31</v>
      </c>
      <c r="BB11">
        <v>28</v>
      </c>
      <c r="BC11">
        <v>55</v>
      </c>
      <c r="BD11">
        <v>26</v>
      </c>
      <c r="BE11">
        <v>21</v>
      </c>
      <c r="BF11" t="s">
        <v>22</v>
      </c>
    </row>
    <row r="12" spans="1:59" x14ac:dyDescent="0.25">
      <c r="A12" t="s">
        <v>88</v>
      </c>
      <c r="B12" t="s">
        <v>89</v>
      </c>
      <c r="C12">
        <v>0</v>
      </c>
      <c r="D12" t="s">
        <v>55</v>
      </c>
      <c r="E12">
        <v>0</v>
      </c>
      <c r="F12" t="s">
        <v>90</v>
      </c>
      <c r="G12">
        <v>0</v>
      </c>
      <c r="H12" t="s">
        <v>91</v>
      </c>
      <c r="I12">
        <v>0</v>
      </c>
      <c r="J12" t="s">
        <v>48</v>
      </c>
      <c r="K12">
        <v>0</v>
      </c>
      <c r="L12" t="s">
        <v>92</v>
      </c>
      <c r="M12">
        <v>0</v>
      </c>
      <c r="N12" t="s">
        <v>43</v>
      </c>
      <c r="O12">
        <v>0</v>
      </c>
      <c r="AF12" t="s">
        <v>22</v>
      </c>
      <c r="AG12">
        <f>(+C12+E12+I12+M12)</f>
        <v>0</v>
      </c>
      <c r="AH12">
        <f>(+E12+G12+M12)</f>
        <v>0</v>
      </c>
      <c r="AI12">
        <f>(+C12+E12+O12)</f>
        <v>0</v>
      </c>
      <c r="AJ12">
        <f>(+E12+K12+M12)</f>
        <v>0</v>
      </c>
      <c r="AK12">
        <f>(+G12+O12)</f>
        <v>0</v>
      </c>
      <c r="AL12">
        <f>(+C12+E12+I12+K12+O12)</f>
        <v>0</v>
      </c>
      <c r="AM12">
        <f>(+C12+E12+G12+I12+M12)</f>
        <v>0</v>
      </c>
      <c r="AV12" t="s">
        <v>22</v>
      </c>
      <c r="AW12">
        <v>42</v>
      </c>
      <c r="AX12">
        <v>30</v>
      </c>
      <c r="AY12">
        <v>32</v>
      </c>
      <c r="AZ12">
        <v>31</v>
      </c>
      <c r="BA12">
        <v>20</v>
      </c>
      <c r="BB12">
        <v>52</v>
      </c>
      <c r="BC12">
        <v>48</v>
      </c>
      <c r="BD12" t="s">
        <v>22</v>
      </c>
    </row>
    <row r="13" spans="1:59" x14ac:dyDescent="0.25">
      <c r="A13" t="s">
        <v>93</v>
      </c>
      <c r="B13" t="s">
        <v>70</v>
      </c>
      <c r="C13">
        <v>0</v>
      </c>
      <c r="D13" t="s">
        <v>94</v>
      </c>
      <c r="E13">
        <v>0</v>
      </c>
      <c r="F13" t="s">
        <v>95</v>
      </c>
      <c r="G13">
        <v>0</v>
      </c>
      <c r="H13" t="s">
        <v>96</v>
      </c>
      <c r="I13">
        <v>0</v>
      </c>
      <c r="J13" t="s">
        <v>97</v>
      </c>
      <c r="K13">
        <v>0</v>
      </c>
      <c r="L13" t="s">
        <v>98</v>
      </c>
      <c r="M13">
        <v>0</v>
      </c>
      <c r="N13" t="s">
        <v>52</v>
      </c>
      <c r="O13">
        <v>0</v>
      </c>
      <c r="P13" t="s">
        <v>99</v>
      </c>
      <c r="Q13">
        <v>0</v>
      </c>
      <c r="R13" t="s">
        <v>100</v>
      </c>
      <c r="S13">
        <v>0</v>
      </c>
      <c r="T13" t="s">
        <v>101</v>
      </c>
      <c r="U13">
        <v>0</v>
      </c>
      <c r="V13" t="s">
        <v>102</v>
      </c>
      <c r="W13">
        <v>0</v>
      </c>
      <c r="X13" t="s">
        <v>103</v>
      </c>
      <c r="Y13">
        <v>0</v>
      </c>
      <c r="Z13" t="s">
        <v>104</v>
      </c>
      <c r="AA13">
        <v>0</v>
      </c>
      <c r="AF13" t="s">
        <v>22</v>
      </c>
      <c r="AG13">
        <f>(+C13+G13+I13+S13+U13+W13+Y13+AA13)</f>
        <v>0</v>
      </c>
      <c r="AH13">
        <f>(+C13+I13+M13+Q13+W13)</f>
        <v>0</v>
      </c>
      <c r="AI13">
        <f>(+C13+E13+G13+K13+Q13+W13+Y13)</f>
        <v>0</v>
      </c>
      <c r="AJ13">
        <f>(+C13+E13+G13+K13+Q13+S13+U13+Y13)</f>
        <v>0</v>
      </c>
      <c r="AK13">
        <f>(+C13+E13+O13+S13+W13+AA13)</f>
        <v>0</v>
      </c>
      <c r="AL13">
        <f>(+C13+E13+G13+K13+S13+W13+Y13)</f>
        <v>0</v>
      </c>
      <c r="AM13">
        <f>(+E13+Q13+S13+U13+W13+AA13)</f>
        <v>0</v>
      </c>
      <c r="AN13">
        <f>(+C13+E13+I13+M13+Q13+W13+Y13+AA13)</f>
        <v>0</v>
      </c>
      <c r="AO13">
        <f>(+C13+E13+G13+U13+Y13)</f>
        <v>0</v>
      </c>
      <c r="AP13">
        <f>(+G13+I13+U13+W13+Y13)</f>
        <v>0</v>
      </c>
      <c r="AV13" t="s">
        <v>22</v>
      </c>
      <c r="AW13">
        <v>87</v>
      </c>
      <c r="AX13">
        <v>56</v>
      </c>
      <c r="AY13">
        <v>65</v>
      </c>
      <c r="AZ13">
        <v>70</v>
      </c>
      <c r="BA13">
        <v>72</v>
      </c>
      <c r="BB13">
        <v>54</v>
      </c>
      <c r="BC13">
        <v>78</v>
      </c>
      <c r="BD13">
        <v>100</v>
      </c>
      <c r="BE13">
        <v>42</v>
      </c>
      <c r="BF13">
        <v>54</v>
      </c>
      <c r="BG13" t="s">
        <v>22</v>
      </c>
    </row>
    <row r="14" spans="1:59" x14ac:dyDescent="0.25">
      <c r="A14" t="s">
        <v>105</v>
      </c>
      <c r="B14" t="s">
        <v>38</v>
      </c>
      <c r="C14">
        <v>0</v>
      </c>
      <c r="D14" t="s">
        <v>40</v>
      </c>
      <c r="E14">
        <v>0</v>
      </c>
      <c r="F14" t="s">
        <v>7</v>
      </c>
      <c r="G14">
        <v>0</v>
      </c>
      <c r="H14" t="s">
        <v>106</v>
      </c>
      <c r="I14">
        <v>0</v>
      </c>
      <c r="J14" t="s">
        <v>14</v>
      </c>
      <c r="K14">
        <v>0</v>
      </c>
      <c r="L14" t="s">
        <v>52</v>
      </c>
      <c r="M14">
        <v>0</v>
      </c>
      <c r="AF14" t="s">
        <v>22</v>
      </c>
      <c r="AG14">
        <f>(+E14+I14+K14)</f>
        <v>0</v>
      </c>
      <c r="AH14">
        <f>(+C14+G14)</f>
        <v>0</v>
      </c>
      <c r="AI14">
        <f>(+E14+I14)</f>
        <v>0</v>
      </c>
      <c r="AJ14">
        <f>(+E14+G14)</f>
        <v>0</v>
      </c>
      <c r="AK14">
        <f>(+I14+K14+M14)</f>
        <v>0</v>
      </c>
      <c r="AV14" t="s">
        <v>22</v>
      </c>
      <c r="AW14">
        <v>34</v>
      </c>
      <c r="AX14">
        <v>26</v>
      </c>
      <c r="AY14">
        <v>19</v>
      </c>
      <c r="AZ14">
        <v>27</v>
      </c>
      <c r="BA14">
        <v>31</v>
      </c>
      <c r="BB14" t="s">
        <v>22</v>
      </c>
    </row>
    <row r="15" spans="1:59" x14ac:dyDescent="0.25">
      <c r="A15" t="s">
        <v>107</v>
      </c>
      <c r="B15" t="s">
        <v>42</v>
      </c>
      <c r="C15">
        <v>0</v>
      </c>
      <c r="D15" t="s">
        <v>15</v>
      </c>
      <c r="E15">
        <v>0</v>
      </c>
      <c r="F15" t="s">
        <v>13</v>
      </c>
      <c r="G15">
        <v>0</v>
      </c>
      <c r="AF15" t="s">
        <v>22</v>
      </c>
      <c r="AG15">
        <f>(+E15+G15)</f>
        <v>0</v>
      </c>
      <c r="AH15">
        <f>(+C15+E15)</f>
        <v>0</v>
      </c>
      <c r="AI15">
        <f>(+C15+E15+G15)</f>
        <v>0</v>
      </c>
      <c r="AJ15">
        <f>(+G15)</f>
        <v>0</v>
      </c>
      <c r="AK15">
        <f>(+C15+G15)</f>
        <v>0</v>
      </c>
      <c r="AV15" t="s">
        <v>22</v>
      </c>
      <c r="AW15">
        <v>16</v>
      </c>
      <c r="AX15">
        <v>16</v>
      </c>
      <c r="AY15">
        <v>30</v>
      </c>
      <c r="AZ15">
        <v>14</v>
      </c>
      <c r="BA15">
        <v>28</v>
      </c>
      <c r="BB15" t="s">
        <v>22</v>
      </c>
    </row>
    <row r="16" spans="1:59" x14ac:dyDescent="0.25">
      <c r="A16" t="s">
        <v>108</v>
      </c>
      <c r="B16" t="s">
        <v>109</v>
      </c>
      <c r="C16">
        <v>0</v>
      </c>
      <c r="D16" t="s">
        <v>40</v>
      </c>
      <c r="E16">
        <v>0</v>
      </c>
      <c r="F16" t="s">
        <v>20</v>
      </c>
      <c r="G16">
        <v>0</v>
      </c>
      <c r="H16" t="s">
        <v>16</v>
      </c>
      <c r="I16">
        <v>0</v>
      </c>
      <c r="AF16" t="s">
        <v>22</v>
      </c>
      <c r="AG16">
        <f>(+C16+E16+G16)</f>
        <v>0</v>
      </c>
      <c r="AH16">
        <f>(+C16+G16+I16)</f>
        <v>0</v>
      </c>
      <c r="AI16">
        <f>(+E16+G16+I16)</f>
        <v>0</v>
      </c>
      <c r="AJ16">
        <f>(+E16+I16)</f>
        <v>0</v>
      </c>
      <c r="AK16">
        <f>(+C16+G16+I16)</f>
        <v>0</v>
      </c>
      <c r="AL16">
        <f>(+C16+G16)</f>
        <v>0</v>
      </c>
      <c r="AV16" t="s">
        <v>22</v>
      </c>
      <c r="AW16">
        <v>35</v>
      </c>
      <c r="AX16">
        <v>34</v>
      </c>
      <c r="AY16">
        <v>40</v>
      </c>
      <c r="AZ16">
        <v>37</v>
      </c>
      <c r="BA16">
        <v>34</v>
      </c>
      <c r="BB16">
        <v>16</v>
      </c>
      <c r="BC16" t="s">
        <v>22</v>
      </c>
    </row>
    <row r="17" spans="1:59" x14ac:dyDescent="0.25">
      <c r="A17" t="s">
        <v>110</v>
      </c>
      <c r="B17" t="s">
        <v>111</v>
      </c>
      <c r="C17">
        <v>0</v>
      </c>
      <c r="D17" t="s">
        <v>112</v>
      </c>
      <c r="E17">
        <v>0</v>
      </c>
      <c r="F17" t="s">
        <v>113</v>
      </c>
      <c r="G17">
        <v>0</v>
      </c>
      <c r="H17" t="s">
        <v>34</v>
      </c>
      <c r="I17">
        <v>0</v>
      </c>
      <c r="J17" t="s">
        <v>114</v>
      </c>
      <c r="K17">
        <v>0</v>
      </c>
      <c r="L17" t="s">
        <v>55</v>
      </c>
      <c r="M17">
        <v>0</v>
      </c>
      <c r="N17" t="s">
        <v>115</v>
      </c>
      <c r="O17">
        <v>0</v>
      </c>
      <c r="P17" t="s">
        <v>116</v>
      </c>
      <c r="Q17">
        <v>0</v>
      </c>
      <c r="AF17" t="s">
        <v>22</v>
      </c>
      <c r="AG17">
        <f>(+E17+I17+K17+M17)</f>
        <v>0</v>
      </c>
      <c r="AH17">
        <f>(+C17+K17+M17+O17+Q17)</f>
        <v>0</v>
      </c>
      <c r="AI17">
        <f>(+E17+G17+I17+K17+M17+Q17)</f>
        <v>0</v>
      </c>
      <c r="AJ17">
        <f>(+C17+E17+I17+K17+M17+Q17)</f>
        <v>0</v>
      </c>
      <c r="AK17">
        <f>(+C17+E17+I17+Q17)</f>
        <v>0</v>
      </c>
      <c r="AL17">
        <f>(+C17+I17+K17+M17+O17+Q17)</f>
        <v>0</v>
      </c>
      <c r="AM17">
        <f>(+C17+E17+G17+M17)</f>
        <v>0</v>
      </c>
      <c r="AV17" t="s">
        <v>22</v>
      </c>
      <c r="AW17">
        <v>245</v>
      </c>
      <c r="AX17">
        <v>73</v>
      </c>
      <c r="AY17">
        <v>271</v>
      </c>
      <c r="AZ17">
        <v>260</v>
      </c>
      <c r="BA17">
        <v>222</v>
      </c>
      <c r="BB17">
        <v>272</v>
      </c>
      <c r="BC17">
        <v>45</v>
      </c>
      <c r="BD17" t="s">
        <v>22</v>
      </c>
    </row>
    <row r="18" spans="1:59" x14ac:dyDescent="0.25">
      <c r="A18" t="s">
        <v>117</v>
      </c>
      <c r="B18" t="s">
        <v>16</v>
      </c>
      <c r="C18">
        <v>0</v>
      </c>
      <c r="D18" t="s">
        <v>7</v>
      </c>
      <c r="E18">
        <v>0</v>
      </c>
      <c r="F18" t="s">
        <v>106</v>
      </c>
      <c r="G18">
        <v>0</v>
      </c>
      <c r="H18" t="s">
        <v>118</v>
      </c>
      <c r="I18">
        <v>0</v>
      </c>
      <c r="J18" t="s">
        <v>20</v>
      </c>
      <c r="K18">
        <v>0</v>
      </c>
      <c r="L18" t="s">
        <v>97</v>
      </c>
      <c r="M18">
        <v>0</v>
      </c>
      <c r="N18" t="s">
        <v>119</v>
      </c>
      <c r="O18">
        <v>0</v>
      </c>
      <c r="P18" t="s">
        <v>27</v>
      </c>
      <c r="Q18">
        <v>0</v>
      </c>
      <c r="AF18" t="s">
        <v>22</v>
      </c>
      <c r="AG18">
        <f>(+G18+K18+Q18)</f>
        <v>0</v>
      </c>
      <c r="AH18">
        <f>(+C18+E18+I18+K18+Q18)</f>
        <v>0</v>
      </c>
      <c r="AI18">
        <f>(+C18+G18+K18+M18+Q18)</f>
        <v>0</v>
      </c>
      <c r="AJ18">
        <f>(+C18+E18+I18+M18+O18+Q18)</f>
        <v>0</v>
      </c>
      <c r="AK18">
        <f>(+C18+G18+I18+K18+O18)</f>
        <v>0</v>
      </c>
      <c r="AL18">
        <f>(+K18+M18+O18)</f>
        <v>0</v>
      </c>
      <c r="AV18" t="s">
        <v>22</v>
      </c>
      <c r="AW18">
        <v>31</v>
      </c>
      <c r="AX18">
        <v>71</v>
      </c>
      <c r="AY18">
        <v>57</v>
      </c>
      <c r="AZ18">
        <v>84</v>
      </c>
      <c r="BA18">
        <v>46</v>
      </c>
      <c r="BB18">
        <v>35</v>
      </c>
      <c r="BC18" t="s">
        <v>22</v>
      </c>
    </row>
    <row r="19" spans="1:59" x14ac:dyDescent="0.25">
      <c r="A19" t="s">
        <v>120</v>
      </c>
      <c r="B19" t="s">
        <v>21</v>
      </c>
      <c r="C19">
        <v>0</v>
      </c>
      <c r="D19" t="s">
        <v>121</v>
      </c>
      <c r="E19">
        <v>0</v>
      </c>
      <c r="F19" t="s">
        <v>122</v>
      </c>
      <c r="G19">
        <v>0</v>
      </c>
      <c r="H19" t="s">
        <v>123</v>
      </c>
      <c r="I19">
        <v>0</v>
      </c>
      <c r="J19" t="s">
        <v>19</v>
      </c>
      <c r="K19">
        <v>0</v>
      </c>
      <c r="L19" t="s">
        <v>124</v>
      </c>
      <c r="M19">
        <v>0</v>
      </c>
      <c r="N19" t="s">
        <v>20</v>
      </c>
      <c r="O19">
        <v>0</v>
      </c>
      <c r="P19" t="s">
        <v>56</v>
      </c>
      <c r="Q19">
        <v>0</v>
      </c>
      <c r="R19" t="s">
        <v>125</v>
      </c>
      <c r="S19">
        <v>0</v>
      </c>
      <c r="T19" t="s">
        <v>42</v>
      </c>
      <c r="U19">
        <v>0</v>
      </c>
      <c r="AF19" t="s">
        <v>22</v>
      </c>
      <c r="AG19">
        <f>(+E19+G19+K19+O19+S19)</f>
        <v>0</v>
      </c>
      <c r="AH19">
        <f>(+C19+G19+I19+O19+S19+U19)</f>
        <v>0</v>
      </c>
      <c r="AI19">
        <f>(+C19+E19+G19+O19+Q19+S19+U19)</f>
        <v>0</v>
      </c>
      <c r="AJ19">
        <f>(+E19+K19)</f>
        <v>0</v>
      </c>
      <c r="AK19">
        <f>(+I19+K19+O19+S19+U19)</f>
        <v>0</v>
      </c>
      <c r="AL19">
        <f>(+M19+O19+Q19+S19)</f>
        <v>0</v>
      </c>
      <c r="AM19">
        <f>(+E19+G19+M19)</f>
        <v>0</v>
      </c>
      <c r="AN19">
        <f>(+E19+I19+M19+S19)</f>
        <v>0</v>
      </c>
      <c r="AV19" t="s">
        <v>22</v>
      </c>
      <c r="AW19">
        <v>169</v>
      </c>
      <c r="AX19">
        <v>90</v>
      </c>
      <c r="AY19">
        <v>115</v>
      </c>
      <c r="AZ19">
        <v>126</v>
      </c>
      <c r="BA19">
        <v>166</v>
      </c>
      <c r="BB19">
        <v>66</v>
      </c>
      <c r="BC19">
        <v>52</v>
      </c>
      <c r="BD19">
        <v>68</v>
      </c>
      <c r="BE19" t="s">
        <v>22</v>
      </c>
    </row>
    <row r="20" spans="1:59" x14ac:dyDescent="0.25">
      <c r="A20" t="s">
        <v>126</v>
      </c>
      <c r="B20" t="s">
        <v>42</v>
      </c>
      <c r="C20">
        <v>0</v>
      </c>
      <c r="D20" t="s">
        <v>16</v>
      </c>
      <c r="E20">
        <v>0</v>
      </c>
      <c r="F20" t="s">
        <v>39</v>
      </c>
      <c r="G20">
        <v>0</v>
      </c>
      <c r="AF20" t="s">
        <v>22</v>
      </c>
      <c r="AG20">
        <f>(+G20)</f>
        <v>0</v>
      </c>
      <c r="AH20">
        <f>(+C20+E20+G20)</f>
        <v>0</v>
      </c>
      <c r="AI20">
        <f>(+C20+E20)</f>
        <v>0</v>
      </c>
      <c r="AJ20">
        <f>(+E20+G20)</f>
        <v>0</v>
      </c>
      <c r="AK20">
        <f>(+C20+E20)</f>
        <v>0</v>
      </c>
      <c r="AV20" t="s">
        <v>22</v>
      </c>
      <c r="AW20">
        <v>179</v>
      </c>
      <c r="AX20">
        <v>196</v>
      </c>
      <c r="AY20">
        <v>17</v>
      </c>
      <c r="AZ20">
        <v>188</v>
      </c>
      <c r="BA20">
        <v>17</v>
      </c>
      <c r="BB20" t="s">
        <v>22</v>
      </c>
    </row>
    <row r="21" spans="1:59" x14ac:dyDescent="0.25">
      <c r="A21" t="s">
        <v>127</v>
      </c>
      <c r="B21" t="s">
        <v>6</v>
      </c>
      <c r="C21">
        <v>0</v>
      </c>
      <c r="D21" t="s">
        <v>11</v>
      </c>
      <c r="E21">
        <v>0</v>
      </c>
      <c r="F21" t="s">
        <v>14</v>
      </c>
      <c r="G21">
        <v>0</v>
      </c>
      <c r="H21" t="s">
        <v>128</v>
      </c>
      <c r="I21">
        <v>0</v>
      </c>
      <c r="J21" t="s">
        <v>118</v>
      </c>
      <c r="K21">
        <v>0</v>
      </c>
      <c r="L21" t="s">
        <v>42</v>
      </c>
      <c r="M21">
        <v>0</v>
      </c>
      <c r="N21" t="s">
        <v>38</v>
      </c>
      <c r="O21">
        <v>0</v>
      </c>
      <c r="AF21" t="s">
        <v>22</v>
      </c>
      <c r="AG21">
        <f>(+E21+G21+I21)</f>
        <v>0</v>
      </c>
      <c r="AH21">
        <f>(+E21+I21+K21+M21+O21)</f>
        <v>0</v>
      </c>
      <c r="AI21">
        <f>(+M21)</f>
        <v>0</v>
      </c>
      <c r="AJ21">
        <f>(+C21+K21)</f>
        <v>0</v>
      </c>
      <c r="AK21">
        <f>(+G21+I21+K21+M21)</f>
        <v>0</v>
      </c>
      <c r="AV21" t="s">
        <v>22</v>
      </c>
      <c r="AW21">
        <v>21</v>
      </c>
      <c r="AX21">
        <v>147</v>
      </c>
      <c r="AY21">
        <v>3</v>
      </c>
      <c r="AZ21">
        <v>18</v>
      </c>
      <c r="BA21">
        <v>32</v>
      </c>
      <c r="BB21" t="s">
        <v>22</v>
      </c>
    </row>
    <row r="22" spans="1:59" x14ac:dyDescent="0.25">
      <c r="A22" t="s">
        <v>129</v>
      </c>
      <c r="B22" t="s">
        <v>118</v>
      </c>
      <c r="C22">
        <v>0</v>
      </c>
      <c r="D22" t="s">
        <v>109</v>
      </c>
      <c r="E22">
        <v>0</v>
      </c>
      <c r="F22" t="s">
        <v>97</v>
      </c>
      <c r="G22">
        <v>0</v>
      </c>
      <c r="H22" t="s">
        <v>47</v>
      </c>
      <c r="I22">
        <v>0</v>
      </c>
      <c r="J22" t="s">
        <v>40</v>
      </c>
      <c r="K22">
        <v>0</v>
      </c>
      <c r="L22" t="s">
        <v>130</v>
      </c>
      <c r="M22">
        <v>0</v>
      </c>
      <c r="N22" t="s">
        <v>131</v>
      </c>
      <c r="O22">
        <v>0</v>
      </c>
      <c r="AF22" t="s">
        <v>22</v>
      </c>
      <c r="AG22">
        <f>(+E22+I22+K22)</f>
        <v>0</v>
      </c>
      <c r="AH22">
        <f>(+C22+E22+M22+O22)</f>
        <v>0</v>
      </c>
      <c r="AI22">
        <f>(+G22+K22+M22+O22)</f>
        <v>0</v>
      </c>
      <c r="AJ22">
        <f>(+C22+G22+I22+K22+M22)</f>
        <v>0</v>
      </c>
      <c r="AK22">
        <f>(+C22+E22)</f>
        <v>0</v>
      </c>
      <c r="AL22">
        <f>(+E22+G22+M22+O22)</f>
        <v>0</v>
      </c>
      <c r="AV22" t="s">
        <v>22</v>
      </c>
      <c r="AW22">
        <v>33</v>
      </c>
      <c r="AX22">
        <v>22</v>
      </c>
      <c r="AY22">
        <v>43</v>
      </c>
      <c r="AZ22">
        <v>42</v>
      </c>
      <c r="BA22">
        <v>6</v>
      </c>
      <c r="BB22">
        <v>32</v>
      </c>
      <c r="BC22" t="s">
        <v>22</v>
      </c>
    </row>
    <row r="23" spans="1:59" x14ac:dyDescent="0.25">
      <c r="A23" t="s">
        <v>132</v>
      </c>
      <c r="B23" t="s">
        <v>133</v>
      </c>
      <c r="C23">
        <v>0</v>
      </c>
      <c r="D23" t="s">
        <v>134</v>
      </c>
      <c r="E23">
        <v>0</v>
      </c>
      <c r="F23" t="s">
        <v>135</v>
      </c>
      <c r="G23">
        <v>0</v>
      </c>
      <c r="H23" t="s">
        <v>136</v>
      </c>
      <c r="I23">
        <v>0</v>
      </c>
      <c r="J23" t="s">
        <v>45</v>
      </c>
      <c r="K23">
        <v>0</v>
      </c>
      <c r="L23" t="s">
        <v>137</v>
      </c>
      <c r="M23">
        <v>0</v>
      </c>
      <c r="N23" t="s">
        <v>68</v>
      </c>
      <c r="O23">
        <v>0</v>
      </c>
      <c r="AF23" t="s">
        <v>22</v>
      </c>
      <c r="AG23">
        <f>(+C23+I23+K23+M23+O23)</f>
        <v>0</v>
      </c>
      <c r="AH23">
        <f>(+C23+G23+I23+M23)</f>
        <v>0</v>
      </c>
      <c r="AI23">
        <f>(+C23+E23+M23)</f>
        <v>0</v>
      </c>
      <c r="AJ23">
        <f>(+C23+G23+I23+M23+O23)</f>
        <v>0</v>
      </c>
      <c r="AK23">
        <f>(+C23+I23+M23)</f>
        <v>0</v>
      </c>
      <c r="AL23">
        <f>(+E23+K23+M23)</f>
        <v>0</v>
      </c>
      <c r="AM23">
        <f>(+C23+E23+G23+I23+M23)</f>
        <v>0</v>
      </c>
      <c r="AN23">
        <f>(+G23+I23+O23)</f>
        <v>0</v>
      </c>
      <c r="AV23" t="s">
        <v>22</v>
      </c>
      <c r="AW23">
        <v>73</v>
      </c>
      <c r="AX23">
        <v>44</v>
      </c>
      <c r="AY23">
        <v>44</v>
      </c>
      <c r="AZ23">
        <v>55</v>
      </c>
      <c r="BA23">
        <v>44</v>
      </c>
      <c r="BB23">
        <v>51</v>
      </c>
      <c r="BC23">
        <v>60</v>
      </c>
      <c r="BD23">
        <v>27</v>
      </c>
      <c r="BE23" t="s">
        <v>22</v>
      </c>
    </row>
    <row r="24" spans="1:59" x14ac:dyDescent="0.25">
      <c r="A24" t="s">
        <v>138</v>
      </c>
      <c r="B24" t="s">
        <v>113</v>
      </c>
      <c r="C24">
        <v>0</v>
      </c>
      <c r="D24" t="s">
        <v>139</v>
      </c>
      <c r="E24">
        <v>0</v>
      </c>
      <c r="F24" t="s">
        <v>115</v>
      </c>
      <c r="G24">
        <v>0</v>
      </c>
      <c r="H24" t="s">
        <v>140</v>
      </c>
      <c r="I24">
        <v>0</v>
      </c>
      <c r="J24" t="s">
        <v>141</v>
      </c>
      <c r="K24">
        <v>0</v>
      </c>
      <c r="L24" t="s">
        <v>142</v>
      </c>
      <c r="M24">
        <v>0</v>
      </c>
      <c r="N24" t="s">
        <v>143</v>
      </c>
      <c r="O24">
        <v>0</v>
      </c>
      <c r="P24" t="s">
        <v>144</v>
      </c>
      <c r="Q24">
        <v>0</v>
      </c>
      <c r="R24" t="s">
        <v>94</v>
      </c>
      <c r="S24">
        <v>0</v>
      </c>
      <c r="T24" t="s">
        <v>145</v>
      </c>
      <c r="U24">
        <v>0</v>
      </c>
      <c r="AF24" t="s">
        <v>22</v>
      </c>
      <c r="AG24">
        <f>(+I24+K24+M24+O24+U24)</f>
        <v>0</v>
      </c>
      <c r="AH24">
        <f>(+G24+K24+M24)</f>
        <v>0</v>
      </c>
      <c r="AI24">
        <f>(+C24+E24+M24+O24+Q24+S24)</f>
        <v>0</v>
      </c>
      <c r="AJ24">
        <f>(+I24+K24+O24+S24+U24)</f>
        <v>0</v>
      </c>
      <c r="AK24">
        <f>(+K24+M24+O24+Q24+S24)</f>
        <v>0</v>
      </c>
      <c r="AL24">
        <f>(+G24+K24+M24+Q24+S24)</f>
        <v>0</v>
      </c>
      <c r="AM24">
        <f>(+C24+E24+I24+M24+O24+Q24+S24+U24)</f>
        <v>0</v>
      </c>
      <c r="AN24">
        <f>(+E24+I24+M24+O24+S24+U24)</f>
        <v>0</v>
      </c>
      <c r="AO24">
        <f>(+K24+M24+Q24+S24+U24)</f>
        <v>0</v>
      </c>
      <c r="AV24" t="s">
        <v>22</v>
      </c>
      <c r="AW24">
        <v>62</v>
      </c>
      <c r="AX24">
        <v>39</v>
      </c>
      <c r="AY24">
        <v>169</v>
      </c>
      <c r="AZ24">
        <v>48</v>
      </c>
      <c r="BA24">
        <v>160</v>
      </c>
      <c r="BB24">
        <v>154</v>
      </c>
      <c r="BC24">
        <v>186</v>
      </c>
      <c r="BD24">
        <v>75</v>
      </c>
      <c r="BE24">
        <v>146</v>
      </c>
      <c r="BF24" t="s">
        <v>22</v>
      </c>
    </row>
    <row r="25" spans="1:59" x14ac:dyDescent="0.25">
      <c r="A25" t="s">
        <v>146</v>
      </c>
      <c r="B25" t="s">
        <v>40</v>
      </c>
      <c r="C25">
        <v>0</v>
      </c>
      <c r="D25" t="s">
        <v>113</v>
      </c>
      <c r="E25">
        <v>0</v>
      </c>
      <c r="F25" t="s">
        <v>147</v>
      </c>
      <c r="G25">
        <v>0</v>
      </c>
      <c r="H25" t="s">
        <v>148</v>
      </c>
      <c r="I25">
        <v>0</v>
      </c>
      <c r="J25" t="s">
        <v>149</v>
      </c>
      <c r="K25">
        <v>0</v>
      </c>
      <c r="L25" t="s">
        <v>44</v>
      </c>
      <c r="M25">
        <v>0</v>
      </c>
      <c r="N25" t="s">
        <v>20</v>
      </c>
      <c r="O25">
        <v>0</v>
      </c>
      <c r="AF25" t="s">
        <v>22</v>
      </c>
      <c r="AG25">
        <f>(+C25+O25)</f>
        <v>0</v>
      </c>
      <c r="AH25">
        <f>(+O25)</f>
        <v>0</v>
      </c>
      <c r="AI25">
        <f>(+C25+E25+G25+I25+K25+O25)</f>
        <v>0</v>
      </c>
      <c r="AJ25">
        <f>(+C25+G25+I25)</f>
        <v>0</v>
      </c>
      <c r="AK25">
        <f>(+G25+K25+M25+O25)</f>
        <v>0</v>
      </c>
      <c r="AL25">
        <f>(+G25+K25+M25+O25)</f>
        <v>0</v>
      </c>
      <c r="AM25">
        <f>(+E25+G25+I25+K25)</f>
        <v>0</v>
      </c>
      <c r="AV25" t="s">
        <v>22</v>
      </c>
      <c r="AW25">
        <v>22</v>
      </c>
      <c r="AX25">
        <v>8</v>
      </c>
      <c r="AY25">
        <v>188</v>
      </c>
      <c r="AZ25">
        <v>37</v>
      </c>
      <c r="BA25">
        <v>46</v>
      </c>
      <c r="BB25">
        <v>46</v>
      </c>
      <c r="BC25">
        <v>166</v>
      </c>
      <c r="BD25" t="s">
        <v>22</v>
      </c>
    </row>
    <row r="26" spans="1:59" x14ac:dyDescent="0.25">
      <c r="A26" t="s">
        <v>150</v>
      </c>
      <c r="B26" t="s">
        <v>11</v>
      </c>
      <c r="C26">
        <v>0</v>
      </c>
      <c r="D26" t="s">
        <v>151</v>
      </c>
      <c r="E26">
        <v>0</v>
      </c>
      <c r="F26" t="s">
        <v>45</v>
      </c>
      <c r="G26">
        <v>0</v>
      </c>
      <c r="H26" t="s">
        <v>152</v>
      </c>
      <c r="I26">
        <v>0</v>
      </c>
      <c r="J26" t="s">
        <v>14</v>
      </c>
      <c r="K26">
        <v>0</v>
      </c>
      <c r="L26" t="s">
        <v>13</v>
      </c>
      <c r="M26">
        <v>0</v>
      </c>
      <c r="AF26" t="s">
        <v>22</v>
      </c>
      <c r="AG26">
        <f>(+C26+E26+G26+I26+K26+M26)</f>
        <v>0</v>
      </c>
      <c r="AH26">
        <f>(+C26+I26)</f>
        <v>0</v>
      </c>
      <c r="AI26">
        <f>(+I26+M26)</f>
        <v>0</v>
      </c>
      <c r="AJ26">
        <f>(+E26+M26)</f>
        <v>0</v>
      </c>
      <c r="AK26">
        <f>(+I26+K26+M26)</f>
        <v>0</v>
      </c>
      <c r="AL26">
        <f>(+E26+G26)</f>
        <v>0</v>
      </c>
      <c r="AV26" t="s">
        <v>22</v>
      </c>
      <c r="AW26">
        <v>59</v>
      </c>
      <c r="AX26">
        <v>6</v>
      </c>
      <c r="AY26">
        <v>20</v>
      </c>
      <c r="AZ26">
        <v>30</v>
      </c>
      <c r="BA26">
        <v>31</v>
      </c>
      <c r="BB26">
        <v>28</v>
      </c>
      <c r="BC26" t="s">
        <v>22</v>
      </c>
    </row>
    <row r="27" spans="1:59" x14ac:dyDescent="0.25">
      <c r="A27" t="s">
        <v>153</v>
      </c>
      <c r="B27" t="s">
        <v>11</v>
      </c>
      <c r="C27">
        <v>0</v>
      </c>
      <c r="D27" t="s">
        <v>154</v>
      </c>
      <c r="E27">
        <v>0</v>
      </c>
      <c r="F27" t="s">
        <v>155</v>
      </c>
      <c r="G27">
        <v>0</v>
      </c>
      <c r="H27" t="s">
        <v>156</v>
      </c>
      <c r="I27">
        <v>0</v>
      </c>
      <c r="J27" t="s">
        <v>24</v>
      </c>
      <c r="K27">
        <v>0</v>
      </c>
      <c r="L27" t="s">
        <v>157</v>
      </c>
      <c r="M27">
        <v>0</v>
      </c>
      <c r="N27" t="s">
        <v>158</v>
      </c>
      <c r="O27">
        <v>0</v>
      </c>
      <c r="P27" t="s">
        <v>148</v>
      </c>
      <c r="Q27">
        <v>0</v>
      </c>
      <c r="R27" t="s">
        <v>91</v>
      </c>
      <c r="S27">
        <v>0</v>
      </c>
      <c r="AF27" t="s">
        <v>22</v>
      </c>
      <c r="AG27">
        <f>(+C27+E27+G27+I27+M27+O27+S27)</f>
        <v>0</v>
      </c>
      <c r="AH27">
        <f>(+C27+M27+O27)</f>
        <v>0</v>
      </c>
      <c r="AI27">
        <f>(+E27+I27+K27+M27+Q27)</f>
        <v>0</v>
      </c>
      <c r="AJ27">
        <f>(+M27+O27+Q27)</f>
        <v>0</v>
      </c>
      <c r="AK27">
        <f>(+G27+K27+M27)</f>
        <v>0</v>
      </c>
      <c r="AL27">
        <f>(+G27+O27+S27)</f>
        <v>0</v>
      </c>
      <c r="AM27">
        <f>(+E27+G27+M27+Q27+S27)</f>
        <v>0</v>
      </c>
      <c r="AN27">
        <f>(+E27+I27+M27+O27)</f>
        <v>0</v>
      </c>
      <c r="AV27" t="s">
        <v>22</v>
      </c>
      <c r="AW27">
        <v>73</v>
      </c>
      <c r="AX27">
        <v>40</v>
      </c>
      <c r="AY27">
        <v>46</v>
      </c>
      <c r="AZ27">
        <v>24</v>
      </c>
      <c r="BA27">
        <v>27</v>
      </c>
      <c r="BB27">
        <v>27</v>
      </c>
      <c r="BC27">
        <v>22</v>
      </c>
      <c r="BD27">
        <v>47</v>
      </c>
      <c r="BE27" t="s">
        <v>22</v>
      </c>
    </row>
    <row r="28" spans="1:59" x14ac:dyDescent="0.25">
      <c r="A28" t="s">
        <v>159</v>
      </c>
      <c r="B28" t="s">
        <v>160</v>
      </c>
      <c r="C28">
        <v>0</v>
      </c>
      <c r="D28" t="s">
        <v>161</v>
      </c>
      <c r="E28">
        <v>0</v>
      </c>
      <c r="F28" t="s">
        <v>162</v>
      </c>
      <c r="G28">
        <v>0</v>
      </c>
      <c r="H28" t="s">
        <v>163</v>
      </c>
      <c r="I28">
        <v>0</v>
      </c>
      <c r="J28" t="s">
        <v>164</v>
      </c>
      <c r="K28">
        <v>0</v>
      </c>
      <c r="L28" t="s">
        <v>165</v>
      </c>
      <c r="M28">
        <v>0</v>
      </c>
      <c r="N28" t="s">
        <v>166</v>
      </c>
      <c r="O28">
        <v>0</v>
      </c>
      <c r="P28" t="s">
        <v>167</v>
      </c>
      <c r="Q28">
        <v>0</v>
      </c>
      <c r="R28" t="s">
        <v>16</v>
      </c>
      <c r="S28">
        <v>0</v>
      </c>
      <c r="AF28" t="s">
        <v>22</v>
      </c>
      <c r="AG28">
        <f>(+C28+E28+I28+K28+M28)</f>
        <v>0</v>
      </c>
      <c r="AH28">
        <f>(+E28+G28+I28+K28+O28+S28)</f>
        <v>0</v>
      </c>
      <c r="AI28">
        <f>(+G28+M28+O28+Q28+S28)</f>
        <v>0</v>
      </c>
      <c r="AJ28">
        <f>(+E28+I28+K28+O28+S28)</f>
        <v>0</v>
      </c>
      <c r="AK28">
        <f>(+C28+E28+G28+S28)</f>
        <v>0</v>
      </c>
      <c r="AL28">
        <f>(+C28+G28+I28+K28+M28+Q28)</f>
        <v>0</v>
      </c>
      <c r="AM28">
        <f>(+E28+G28+I28+K28+M28+O28+Q28)</f>
        <v>0</v>
      </c>
      <c r="AN28">
        <f>(+E28+G28+I28+K28+Q28)</f>
        <v>0</v>
      </c>
      <c r="AO28">
        <f>(+E28+K28+M28)</f>
        <v>0</v>
      </c>
      <c r="AP28">
        <f>(+E28+I28+K28+M28+Q28)</f>
        <v>0</v>
      </c>
      <c r="AV28" t="s">
        <v>22</v>
      </c>
      <c r="AW28">
        <v>77</v>
      </c>
      <c r="AX28">
        <v>90</v>
      </c>
      <c r="AY28">
        <v>62</v>
      </c>
      <c r="AZ28">
        <v>70</v>
      </c>
      <c r="BA28">
        <v>55</v>
      </c>
      <c r="BB28">
        <v>84</v>
      </c>
      <c r="BC28">
        <v>105</v>
      </c>
      <c r="BD28">
        <v>75</v>
      </c>
      <c r="BE28">
        <v>52</v>
      </c>
      <c r="BF28">
        <v>72</v>
      </c>
      <c r="BG28" t="s">
        <v>22</v>
      </c>
    </row>
    <row r="29" spans="1:59" x14ac:dyDescent="0.25">
      <c r="A29" t="s">
        <v>168</v>
      </c>
      <c r="B29" t="s">
        <v>27</v>
      </c>
      <c r="C29">
        <v>0</v>
      </c>
      <c r="D29" t="s">
        <v>118</v>
      </c>
      <c r="E29">
        <v>0</v>
      </c>
      <c r="F29" t="s">
        <v>58</v>
      </c>
      <c r="G29">
        <v>0</v>
      </c>
      <c r="H29" t="s">
        <v>169</v>
      </c>
      <c r="I29">
        <v>0</v>
      </c>
      <c r="J29" t="s">
        <v>11</v>
      </c>
      <c r="K29">
        <v>0</v>
      </c>
      <c r="L29" t="s">
        <v>40</v>
      </c>
      <c r="M29">
        <v>0</v>
      </c>
      <c r="AF29" t="s">
        <v>22</v>
      </c>
      <c r="AG29">
        <f>(+C29+K29+M29)</f>
        <v>0</v>
      </c>
      <c r="AH29">
        <f>(+C29+E29+K29)</f>
        <v>0</v>
      </c>
      <c r="AI29">
        <f>(+C29+G29+I29+M29)</f>
        <v>0</v>
      </c>
      <c r="AJ29">
        <f>(+C29+E29+G29+I29+M29)</f>
        <v>0</v>
      </c>
      <c r="AK29">
        <f>(+E29+G29+I29)</f>
        <v>0</v>
      </c>
      <c r="AL29">
        <f>(+G29)</f>
        <v>0</v>
      </c>
      <c r="AV29" t="s">
        <v>22</v>
      </c>
      <c r="AW29">
        <v>38</v>
      </c>
      <c r="AX29">
        <v>32</v>
      </c>
      <c r="AY29">
        <v>54</v>
      </c>
      <c r="AZ29">
        <v>67</v>
      </c>
      <c r="BA29">
        <v>38</v>
      </c>
      <c r="BB29">
        <v>20</v>
      </c>
      <c r="BC29" t="s">
        <v>22</v>
      </c>
    </row>
    <row r="30" spans="1:59" x14ac:dyDescent="0.25">
      <c r="A30" t="s">
        <v>170</v>
      </c>
      <c r="B30" t="s">
        <v>34</v>
      </c>
      <c r="C30">
        <v>0</v>
      </c>
      <c r="D30" t="s">
        <v>42</v>
      </c>
      <c r="E30">
        <v>0</v>
      </c>
      <c r="F30" t="s">
        <v>160</v>
      </c>
      <c r="G30">
        <v>0</v>
      </c>
      <c r="H30" t="s">
        <v>171</v>
      </c>
      <c r="I30">
        <v>0</v>
      </c>
      <c r="AF30" t="s">
        <v>22</v>
      </c>
      <c r="AG30">
        <f>(+C30+G30+I30)</f>
        <v>0</v>
      </c>
      <c r="AH30">
        <f>(+E30+I30)</f>
        <v>0</v>
      </c>
      <c r="AI30">
        <f>(+C30+E30+I30)</f>
        <v>0</v>
      </c>
      <c r="AJ30">
        <f>(+C30)</f>
        <v>0</v>
      </c>
      <c r="AK30">
        <f>(+C30+E30+G30)</f>
        <v>0</v>
      </c>
      <c r="AL30">
        <f>(+C30+G30+I30)</f>
        <v>0</v>
      </c>
      <c r="AV30" t="s">
        <v>22</v>
      </c>
      <c r="AW30">
        <v>218</v>
      </c>
      <c r="AX30">
        <v>13</v>
      </c>
      <c r="AY30">
        <v>20</v>
      </c>
      <c r="AZ30">
        <v>7</v>
      </c>
      <c r="BA30">
        <v>205</v>
      </c>
      <c r="BB30">
        <v>218</v>
      </c>
      <c r="BC30" t="s">
        <v>22</v>
      </c>
    </row>
    <row r="31" spans="1:59" x14ac:dyDescent="0.25">
      <c r="A31" t="s">
        <v>172</v>
      </c>
      <c r="B31" t="s">
        <v>133</v>
      </c>
      <c r="C31">
        <v>0</v>
      </c>
      <c r="D31" t="s">
        <v>166</v>
      </c>
      <c r="E31">
        <v>0</v>
      </c>
      <c r="F31" t="s">
        <v>169</v>
      </c>
      <c r="G31">
        <v>0</v>
      </c>
      <c r="H31" t="s">
        <v>173</v>
      </c>
      <c r="I31">
        <v>0</v>
      </c>
      <c r="J31" t="s">
        <v>125</v>
      </c>
      <c r="K31">
        <v>0</v>
      </c>
      <c r="L31" t="s">
        <v>174</v>
      </c>
      <c r="M31">
        <v>0</v>
      </c>
      <c r="N31" t="s">
        <v>175</v>
      </c>
      <c r="O31">
        <v>0</v>
      </c>
      <c r="P31" t="s">
        <v>176</v>
      </c>
      <c r="Q31">
        <v>0</v>
      </c>
      <c r="R31" t="s">
        <v>177</v>
      </c>
      <c r="S31">
        <v>0</v>
      </c>
      <c r="AF31" t="s">
        <v>22</v>
      </c>
      <c r="AG31">
        <f>(+C31+K31+M31+O31+S31)</f>
        <v>0</v>
      </c>
      <c r="AH31">
        <f>(+C31+E31+K31+M31+O31+Q31+S31)</f>
        <v>0</v>
      </c>
      <c r="AI31">
        <f>(+C31+E31+G31+K31+M31+O31+Q31)</f>
        <v>0</v>
      </c>
      <c r="AJ31">
        <f>(+C31+E31+G31+Q31+S31)</f>
        <v>0</v>
      </c>
      <c r="AK31">
        <f>(+C31+G31+K31+S31)</f>
        <v>0</v>
      </c>
      <c r="AL31">
        <f>(+I31+K31+M31+O31+Q31+S31)</f>
        <v>0</v>
      </c>
      <c r="AM31">
        <f>(+C31+E31+M31+Q31+S31)</f>
        <v>0</v>
      </c>
      <c r="AN31">
        <f>(+I31+K31+M31+O31+Q31)</f>
        <v>0</v>
      </c>
      <c r="AV31" t="s">
        <v>22</v>
      </c>
      <c r="AW31">
        <v>174</v>
      </c>
      <c r="AX31">
        <v>188</v>
      </c>
      <c r="AY31">
        <v>195</v>
      </c>
      <c r="AZ31">
        <v>169</v>
      </c>
      <c r="BA31">
        <v>159</v>
      </c>
      <c r="BB31">
        <v>43</v>
      </c>
      <c r="BC31">
        <v>182</v>
      </c>
      <c r="BD31">
        <v>43</v>
      </c>
      <c r="BE31" t="s">
        <v>22</v>
      </c>
    </row>
    <row r="32" spans="1:59" x14ac:dyDescent="0.25">
      <c r="A32" t="s">
        <v>178</v>
      </c>
      <c r="B32" t="s">
        <v>11</v>
      </c>
      <c r="C32">
        <v>0</v>
      </c>
      <c r="D32" t="s">
        <v>179</v>
      </c>
      <c r="E32">
        <v>0</v>
      </c>
      <c r="F32" t="s">
        <v>52</v>
      </c>
      <c r="G32">
        <v>0</v>
      </c>
      <c r="H32" t="s">
        <v>180</v>
      </c>
      <c r="I32">
        <v>0</v>
      </c>
      <c r="J32" t="s">
        <v>181</v>
      </c>
      <c r="K32">
        <v>0</v>
      </c>
      <c r="L32" t="s">
        <v>182</v>
      </c>
      <c r="M32">
        <v>0</v>
      </c>
      <c r="N32" t="s">
        <v>183</v>
      </c>
      <c r="O32">
        <v>0</v>
      </c>
      <c r="P32" t="s">
        <v>148</v>
      </c>
      <c r="Q32">
        <v>0</v>
      </c>
      <c r="R32" t="s">
        <v>184</v>
      </c>
      <c r="S32">
        <v>0</v>
      </c>
      <c r="AF32" t="s">
        <v>22</v>
      </c>
      <c r="AG32">
        <f>(+C32+E32+I32+K32+M32+O32+S32)</f>
        <v>0</v>
      </c>
      <c r="AH32">
        <f>(+C32+E32+K32+O32+S32)</f>
        <v>0</v>
      </c>
      <c r="AI32">
        <f>(+E32+K32+M32+Q32)</f>
        <v>0</v>
      </c>
      <c r="AJ32">
        <f>(+E32+I32+K32+M32+Q32)</f>
        <v>0</v>
      </c>
      <c r="AK32">
        <f>(+G32+I32+M32+S32)</f>
        <v>0</v>
      </c>
      <c r="AL32">
        <f>(+E32+I32+O32+S32)</f>
        <v>0</v>
      </c>
      <c r="AM32">
        <f>(+I32+K32+O32+Q32+S32)</f>
        <v>0</v>
      </c>
      <c r="AN32">
        <f>(+E32+I32+K32+M32+S32)</f>
        <v>0</v>
      </c>
      <c r="AV32" t="s">
        <v>22</v>
      </c>
      <c r="AW32">
        <v>198</v>
      </c>
      <c r="AX32">
        <v>46</v>
      </c>
      <c r="AY32">
        <v>172</v>
      </c>
      <c r="AZ32">
        <v>174</v>
      </c>
      <c r="BA32">
        <v>172</v>
      </c>
      <c r="BB32">
        <v>26</v>
      </c>
      <c r="BC32">
        <v>32</v>
      </c>
      <c r="BD32">
        <v>178</v>
      </c>
      <c r="BE32" t="s">
        <v>22</v>
      </c>
    </row>
    <row r="33" spans="1:59" x14ac:dyDescent="0.25">
      <c r="A33" t="s">
        <v>185</v>
      </c>
      <c r="B33" t="s">
        <v>186</v>
      </c>
      <c r="C33">
        <v>0</v>
      </c>
      <c r="D33" t="s">
        <v>187</v>
      </c>
      <c r="E33">
        <v>0</v>
      </c>
      <c r="F33" t="s">
        <v>32</v>
      </c>
      <c r="G33">
        <v>0</v>
      </c>
      <c r="H33" t="s">
        <v>188</v>
      </c>
      <c r="I33">
        <v>0</v>
      </c>
      <c r="J33" t="s">
        <v>189</v>
      </c>
      <c r="K33">
        <v>0</v>
      </c>
      <c r="L33" t="s">
        <v>10</v>
      </c>
      <c r="M33">
        <v>0</v>
      </c>
      <c r="N33" t="s">
        <v>190</v>
      </c>
      <c r="O33">
        <v>0</v>
      </c>
      <c r="P33" t="s">
        <v>191</v>
      </c>
      <c r="Q33">
        <v>0</v>
      </c>
      <c r="AF33" t="s">
        <v>22</v>
      </c>
      <c r="AG33">
        <f>(+C33+G33+M33+O33+Q33)</f>
        <v>0</v>
      </c>
      <c r="AH33">
        <f>(+K33+O33)</f>
        <v>0</v>
      </c>
      <c r="AI33">
        <f>(+C33+E33+M33+Q33)</f>
        <v>0</v>
      </c>
      <c r="AJ33">
        <f>(+C33+E33+I33+K33+O33+Q33)</f>
        <v>0</v>
      </c>
      <c r="AK33">
        <f>(+E33+I33+O33+Q33)</f>
        <v>0</v>
      </c>
      <c r="AL33">
        <f>(+C33+E33+I33+Q33)</f>
        <v>0</v>
      </c>
      <c r="AM33">
        <f>(+G33+Q33)</f>
        <v>0</v>
      </c>
      <c r="AN33">
        <f>(+C33+E33+I33+K33+O33+Q33)</f>
        <v>0</v>
      </c>
      <c r="AV33" t="s">
        <v>22</v>
      </c>
      <c r="AW33">
        <v>166</v>
      </c>
      <c r="AX33">
        <v>31</v>
      </c>
      <c r="AY33">
        <v>153</v>
      </c>
      <c r="AZ33">
        <v>68</v>
      </c>
      <c r="BA33">
        <v>52</v>
      </c>
      <c r="BB33">
        <v>37</v>
      </c>
      <c r="BC33">
        <v>12</v>
      </c>
      <c r="BD33">
        <v>68</v>
      </c>
      <c r="BE33" t="s">
        <v>22</v>
      </c>
    </row>
    <row r="34" spans="1:59" x14ac:dyDescent="0.25">
      <c r="A34" t="s">
        <v>192</v>
      </c>
      <c r="B34" t="s">
        <v>43</v>
      </c>
      <c r="C34">
        <v>0</v>
      </c>
      <c r="D34" t="s">
        <v>134</v>
      </c>
      <c r="E34">
        <v>0</v>
      </c>
      <c r="F34" t="s">
        <v>193</v>
      </c>
      <c r="G34">
        <v>0</v>
      </c>
      <c r="H34" t="s">
        <v>194</v>
      </c>
      <c r="I34">
        <v>0</v>
      </c>
      <c r="J34" t="s">
        <v>195</v>
      </c>
      <c r="K34">
        <v>0</v>
      </c>
      <c r="L34" t="s">
        <v>140</v>
      </c>
      <c r="M34">
        <v>0</v>
      </c>
      <c r="N34" t="s">
        <v>196</v>
      </c>
      <c r="O34">
        <v>0</v>
      </c>
      <c r="P34" t="s">
        <v>197</v>
      </c>
      <c r="Q34">
        <v>0</v>
      </c>
      <c r="AF34" t="s">
        <v>22</v>
      </c>
      <c r="AG34">
        <f>(+G34+I34+M34+O34+Q34)</f>
        <v>0</v>
      </c>
      <c r="AH34">
        <f>(+G34+I34+K34)</f>
        <v>0</v>
      </c>
      <c r="AI34">
        <f>(+C34+E34+I34+Q34)</f>
        <v>0</v>
      </c>
      <c r="AJ34">
        <f>(+G34+K34+M34+O34+Q34)</f>
        <v>0</v>
      </c>
      <c r="AK34">
        <f>(+C34+G34+K34)</f>
        <v>0</v>
      </c>
      <c r="AL34">
        <f>(+C34+E34+G34)</f>
        <v>0</v>
      </c>
      <c r="AM34">
        <f>(+E34+I34+K34+M34+O34)</f>
        <v>0</v>
      </c>
      <c r="AN34">
        <f>(+I34+M34+Q34)</f>
        <v>0</v>
      </c>
      <c r="AV34" t="s">
        <v>22</v>
      </c>
      <c r="AW34">
        <v>145</v>
      </c>
      <c r="AX34">
        <v>32</v>
      </c>
      <c r="AY34">
        <v>140</v>
      </c>
      <c r="AZ34">
        <v>149</v>
      </c>
      <c r="BA34">
        <v>33</v>
      </c>
      <c r="BB34">
        <v>26</v>
      </c>
      <c r="BC34">
        <v>67</v>
      </c>
      <c r="BD34">
        <v>136</v>
      </c>
      <c r="BE34" t="s">
        <v>22</v>
      </c>
    </row>
    <row r="35" spans="1:59" x14ac:dyDescent="0.25">
      <c r="A35" t="s">
        <v>198</v>
      </c>
      <c r="B35" t="s">
        <v>10</v>
      </c>
      <c r="C35">
        <v>0</v>
      </c>
      <c r="D35" t="s">
        <v>39</v>
      </c>
      <c r="E35">
        <v>0</v>
      </c>
      <c r="F35" t="s">
        <v>47</v>
      </c>
      <c r="G35">
        <v>0</v>
      </c>
      <c r="AF35" t="s">
        <v>22</v>
      </c>
      <c r="AG35">
        <f>(+C35+E35+G35)</f>
        <v>0</v>
      </c>
      <c r="AH35">
        <f>(+E35)</f>
        <v>0</v>
      </c>
      <c r="AI35">
        <f>(+C35)</f>
        <v>0</v>
      </c>
      <c r="AJ35">
        <f>(+E35+G35)</f>
        <v>0</v>
      </c>
      <c r="AV35" t="s">
        <v>22</v>
      </c>
      <c r="AW35">
        <v>29</v>
      </c>
      <c r="AX35">
        <v>14</v>
      </c>
      <c r="AY35">
        <v>9</v>
      </c>
      <c r="AZ35">
        <v>20</v>
      </c>
      <c r="BA35" t="s">
        <v>22</v>
      </c>
    </row>
    <row r="36" spans="1:59" x14ac:dyDescent="0.25">
      <c r="A36" t="s">
        <v>199</v>
      </c>
      <c r="B36" t="s">
        <v>9</v>
      </c>
      <c r="C36">
        <v>0</v>
      </c>
      <c r="D36" t="s">
        <v>21</v>
      </c>
      <c r="E36">
        <v>0</v>
      </c>
      <c r="F36" t="s">
        <v>39</v>
      </c>
      <c r="G36">
        <v>0</v>
      </c>
      <c r="AF36" t="s">
        <v>22</v>
      </c>
      <c r="AG36">
        <f>(+G36)</f>
        <v>0</v>
      </c>
      <c r="AH36">
        <f>(+E36+G36)</f>
        <v>0</v>
      </c>
      <c r="AI36">
        <f>(+C36+E36)</f>
        <v>0</v>
      </c>
      <c r="AJ36">
        <f>(+C36+G36)</f>
        <v>0</v>
      </c>
      <c r="AV36" t="s">
        <v>22</v>
      </c>
      <c r="AW36">
        <v>7</v>
      </c>
      <c r="AX36">
        <v>19</v>
      </c>
      <c r="AY36">
        <v>153</v>
      </c>
      <c r="AZ36">
        <v>148</v>
      </c>
      <c r="BA36" t="s">
        <v>22</v>
      </c>
    </row>
    <row r="37" spans="1:59" x14ac:dyDescent="0.25">
      <c r="A37" t="s">
        <v>200</v>
      </c>
      <c r="B37" t="s">
        <v>116</v>
      </c>
      <c r="C37">
        <v>0</v>
      </c>
      <c r="D37" t="s">
        <v>128</v>
      </c>
      <c r="E37">
        <v>0</v>
      </c>
      <c r="F37" t="s">
        <v>193</v>
      </c>
      <c r="G37">
        <v>0</v>
      </c>
      <c r="H37" t="s">
        <v>106</v>
      </c>
      <c r="I37">
        <v>0</v>
      </c>
      <c r="AF37" t="s">
        <v>22</v>
      </c>
      <c r="AG37">
        <f>(+E37+G37+I37)</f>
        <v>0</v>
      </c>
      <c r="AH37">
        <f>(+C37+E37+G37)</f>
        <v>0</v>
      </c>
      <c r="AI37">
        <f>(+C37+I37)</f>
        <v>0</v>
      </c>
      <c r="AJ37">
        <f>(+C37+G37)</f>
        <v>0</v>
      </c>
      <c r="AK37">
        <f>(+C37+E37+G37+I37)</f>
        <v>0</v>
      </c>
      <c r="AL37">
        <f>(+C37+G37)</f>
        <v>0</v>
      </c>
      <c r="AV37" t="s">
        <v>22</v>
      </c>
      <c r="AW37">
        <v>19</v>
      </c>
      <c r="AX37">
        <v>19</v>
      </c>
      <c r="AY37">
        <v>16</v>
      </c>
      <c r="AZ37">
        <v>10</v>
      </c>
      <c r="BA37">
        <v>27</v>
      </c>
      <c r="BB37">
        <v>10</v>
      </c>
      <c r="BC37" t="s">
        <v>22</v>
      </c>
    </row>
    <row r="38" spans="1:59" x14ac:dyDescent="0.25">
      <c r="A38" t="s">
        <v>201</v>
      </c>
      <c r="B38" t="s">
        <v>40</v>
      </c>
      <c r="C38">
        <v>0</v>
      </c>
      <c r="D38" t="s">
        <v>25</v>
      </c>
      <c r="E38">
        <v>0</v>
      </c>
      <c r="F38" t="s">
        <v>202</v>
      </c>
      <c r="G38">
        <v>0</v>
      </c>
      <c r="H38" t="s">
        <v>14</v>
      </c>
      <c r="I38">
        <v>0</v>
      </c>
      <c r="J38" t="s">
        <v>169</v>
      </c>
      <c r="K38">
        <v>0</v>
      </c>
      <c r="L38" t="s">
        <v>10</v>
      </c>
      <c r="M38">
        <v>0</v>
      </c>
      <c r="AF38" t="s">
        <v>22</v>
      </c>
      <c r="AG38">
        <f>(+C38+I38+M38)</f>
        <v>0</v>
      </c>
      <c r="AH38">
        <f>(+G38)</f>
        <v>0</v>
      </c>
      <c r="AI38">
        <f>(+C38+K38+M38)</f>
        <v>0</v>
      </c>
      <c r="AJ38">
        <f>(+C38+E38+K38)</f>
        <v>0</v>
      </c>
      <c r="AK38">
        <f>(+E38+G38+I38+K38)</f>
        <v>0</v>
      </c>
      <c r="AV38" t="s">
        <v>22</v>
      </c>
      <c r="AW38">
        <v>165</v>
      </c>
      <c r="AX38">
        <v>18</v>
      </c>
      <c r="AY38">
        <v>157</v>
      </c>
      <c r="AZ38">
        <v>163</v>
      </c>
      <c r="BA38">
        <v>41</v>
      </c>
      <c r="BB38" t="s">
        <v>22</v>
      </c>
    </row>
    <row r="39" spans="1:59" x14ac:dyDescent="0.25">
      <c r="A39" t="s">
        <v>203</v>
      </c>
      <c r="B39" t="s">
        <v>38</v>
      </c>
      <c r="C39">
        <v>0</v>
      </c>
      <c r="D39" t="s">
        <v>34</v>
      </c>
      <c r="E39">
        <v>0</v>
      </c>
      <c r="F39" t="s">
        <v>130</v>
      </c>
      <c r="G39">
        <v>0</v>
      </c>
      <c r="H39" t="s">
        <v>13</v>
      </c>
      <c r="I39">
        <v>0</v>
      </c>
      <c r="J39" t="s">
        <v>109</v>
      </c>
      <c r="K39">
        <v>0</v>
      </c>
      <c r="L39" t="s">
        <v>204</v>
      </c>
      <c r="M39">
        <v>0</v>
      </c>
      <c r="N39" t="s">
        <v>45</v>
      </c>
      <c r="O39">
        <v>0</v>
      </c>
      <c r="P39" t="s">
        <v>48</v>
      </c>
      <c r="Q39">
        <v>0</v>
      </c>
      <c r="AF39" t="s">
        <v>22</v>
      </c>
      <c r="AG39">
        <f>(+E39+I39+K39+M39+O39)</f>
        <v>0</v>
      </c>
      <c r="AH39">
        <f>(+C39+G39+K39+M39)</f>
        <v>0</v>
      </c>
      <c r="AI39">
        <f>(+E39+G39+I39)</f>
        <v>0</v>
      </c>
      <c r="AJ39">
        <f>(+E39+G39+I39+M39+Q39)</f>
        <v>0</v>
      </c>
      <c r="AK39">
        <f>(+E39+I39+K39+M39)</f>
        <v>0</v>
      </c>
      <c r="AL39">
        <f>(+E39+G39+K39+O39+Q39)</f>
        <v>0</v>
      </c>
      <c r="AV39" t="s">
        <v>22</v>
      </c>
      <c r="AW39">
        <v>33</v>
      </c>
      <c r="AX39">
        <v>34</v>
      </c>
      <c r="AY39">
        <v>35</v>
      </c>
      <c r="AZ39">
        <v>41</v>
      </c>
      <c r="BA39">
        <v>25</v>
      </c>
      <c r="BB39">
        <v>30</v>
      </c>
      <c r="BC39" t="s">
        <v>22</v>
      </c>
    </row>
    <row r="40" spans="1:59" x14ac:dyDescent="0.25">
      <c r="A40" t="s">
        <v>205</v>
      </c>
      <c r="B40" t="s">
        <v>206</v>
      </c>
      <c r="C40">
        <v>0</v>
      </c>
      <c r="D40" t="s">
        <v>207</v>
      </c>
      <c r="E40">
        <v>0</v>
      </c>
      <c r="F40" t="s">
        <v>208</v>
      </c>
      <c r="G40">
        <v>0</v>
      </c>
      <c r="H40" t="s">
        <v>57</v>
      </c>
      <c r="I40">
        <v>0</v>
      </c>
      <c r="J40" t="s">
        <v>209</v>
      </c>
      <c r="K40">
        <v>0</v>
      </c>
      <c r="L40" t="s">
        <v>210</v>
      </c>
      <c r="M40">
        <v>0</v>
      </c>
      <c r="N40" t="s">
        <v>141</v>
      </c>
      <c r="O40">
        <v>0</v>
      </c>
      <c r="P40" t="s">
        <v>211</v>
      </c>
      <c r="Q40">
        <v>0</v>
      </c>
      <c r="R40" t="s">
        <v>212</v>
      </c>
      <c r="S40">
        <v>0</v>
      </c>
      <c r="T40" t="s">
        <v>56</v>
      </c>
      <c r="U40">
        <v>0</v>
      </c>
      <c r="AF40" t="s">
        <v>22</v>
      </c>
      <c r="AG40">
        <f>(+K40+M40+O40+Q40+S40)</f>
        <v>0</v>
      </c>
      <c r="AH40">
        <f>(+C40+E40+G40+I40+K40+M40+O40+Q40+S40)</f>
        <v>0</v>
      </c>
      <c r="AI40">
        <f>(+I40+K40+M40+Q40+U40)</f>
        <v>0</v>
      </c>
      <c r="AJ40">
        <f>(+K40+M40+O40)</f>
        <v>0</v>
      </c>
      <c r="AK40">
        <f>(+G40+K40+O40+Q40)</f>
        <v>0</v>
      </c>
      <c r="AL40">
        <f>(+O40+Q40+S40+U40)</f>
        <v>0</v>
      </c>
      <c r="AM40">
        <f>(+E40+G40+I40+K40+Q40+S40)</f>
        <v>0</v>
      </c>
      <c r="AN40">
        <f>(+C40+G40+M40+S40)</f>
        <v>0</v>
      </c>
      <c r="AO40">
        <f>(+C40+G40+K40+O40+Q40+S40)</f>
        <v>0</v>
      </c>
      <c r="AV40" t="s">
        <v>22</v>
      </c>
      <c r="AW40">
        <v>221</v>
      </c>
      <c r="AX40">
        <v>261</v>
      </c>
      <c r="AY40">
        <v>199</v>
      </c>
      <c r="AZ40">
        <v>37</v>
      </c>
      <c r="BA40">
        <v>213</v>
      </c>
      <c r="BB40">
        <v>199</v>
      </c>
      <c r="BC40">
        <v>234</v>
      </c>
      <c r="BD40">
        <v>44</v>
      </c>
      <c r="BE40">
        <v>238</v>
      </c>
      <c r="BF40" t="s">
        <v>22</v>
      </c>
    </row>
    <row r="41" spans="1:59" x14ac:dyDescent="0.25">
      <c r="A41" t="s">
        <v>213</v>
      </c>
      <c r="B41" t="s">
        <v>10</v>
      </c>
      <c r="C41">
        <v>0</v>
      </c>
      <c r="D41" t="s">
        <v>118</v>
      </c>
      <c r="E41">
        <v>0</v>
      </c>
      <c r="F41" t="s">
        <v>6</v>
      </c>
      <c r="G41">
        <v>0</v>
      </c>
      <c r="H41" t="s">
        <v>169</v>
      </c>
      <c r="I41">
        <v>0</v>
      </c>
      <c r="J41" t="s">
        <v>14</v>
      </c>
      <c r="K41">
        <v>0</v>
      </c>
      <c r="L41" t="s">
        <v>21</v>
      </c>
      <c r="M41">
        <v>0</v>
      </c>
      <c r="AF41" t="s">
        <v>22</v>
      </c>
      <c r="AG41">
        <f>(+C41+K41)</f>
        <v>0</v>
      </c>
      <c r="AH41">
        <f>(+E41+M41)</f>
        <v>0</v>
      </c>
      <c r="AI41">
        <f>(+C41+I41+M41)</f>
        <v>0</v>
      </c>
      <c r="AJ41">
        <f>(+E41+G41+I41)</f>
        <v>0</v>
      </c>
      <c r="AK41">
        <f>(+E41+I41+K41)</f>
        <v>0</v>
      </c>
      <c r="AV41" t="s">
        <v>22</v>
      </c>
      <c r="AW41">
        <v>15</v>
      </c>
      <c r="AX41">
        <v>37</v>
      </c>
      <c r="AY41">
        <v>34</v>
      </c>
      <c r="AZ41">
        <v>37</v>
      </c>
      <c r="BA41">
        <v>44</v>
      </c>
      <c r="BB41" t="s">
        <v>22</v>
      </c>
    </row>
    <row r="42" spans="1:59" x14ac:dyDescent="0.25">
      <c r="A42" t="s">
        <v>214</v>
      </c>
      <c r="B42" t="s">
        <v>215</v>
      </c>
      <c r="C42">
        <v>0</v>
      </c>
      <c r="D42" t="s">
        <v>216</v>
      </c>
      <c r="E42">
        <v>0</v>
      </c>
      <c r="F42" t="s">
        <v>217</v>
      </c>
      <c r="G42">
        <v>0</v>
      </c>
      <c r="H42" t="s">
        <v>218</v>
      </c>
      <c r="I42">
        <v>0</v>
      </c>
      <c r="J42" t="s">
        <v>38</v>
      </c>
      <c r="K42">
        <v>0</v>
      </c>
      <c r="L42" t="s">
        <v>14</v>
      </c>
      <c r="M42">
        <v>0</v>
      </c>
      <c r="N42" t="s">
        <v>219</v>
      </c>
      <c r="O42">
        <v>0</v>
      </c>
      <c r="P42" t="s">
        <v>220</v>
      </c>
      <c r="Q42">
        <v>0</v>
      </c>
      <c r="R42" t="s">
        <v>61</v>
      </c>
      <c r="S42">
        <v>0</v>
      </c>
      <c r="T42" t="s">
        <v>39</v>
      </c>
      <c r="U42">
        <v>0</v>
      </c>
      <c r="V42" t="s">
        <v>221</v>
      </c>
      <c r="W42">
        <v>0</v>
      </c>
      <c r="X42" t="s">
        <v>222</v>
      </c>
      <c r="Y42">
        <v>0</v>
      </c>
      <c r="Z42" t="s">
        <v>223</v>
      </c>
      <c r="AA42">
        <v>0</v>
      </c>
      <c r="AF42" t="s">
        <v>22</v>
      </c>
      <c r="AG42">
        <f>(+C42+E42+G42+M42+O42+Q42+U42+Y42+AA42)</f>
        <v>0</v>
      </c>
      <c r="AH42">
        <f>(+C42+G42+K42+O42+Q42+S42+U42+W42+Y42)</f>
        <v>0</v>
      </c>
      <c r="AI42">
        <f>(+C42+E42+G42+Q42+S42+Y42)</f>
        <v>0</v>
      </c>
      <c r="AJ42">
        <f>(+C42+I42+O42+Q42+S42+U42+W42+Y42+AA42)</f>
        <v>0</v>
      </c>
      <c r="AK42">
        <f>(+E42+G42+M42+O42+Q42+W42+Y42)</f>
        <v>0</v>
      </c>
      <c r="AL42">
        <f>(+O42+Q42+S42+W42+Y42+AA42)</f>
        <v>0</v>
      </c>
      <c r="AM42">
        <f>(+E42+G42+I42+S42)</f>
        <v>0</v>
      </c>
      <c r="AN42">
        <f>(+C42+G42+Q42+S42)</f>
        <v>0</v>
      </c>
      <c r="AO42">
        <f>(+E42+G42+S42+W42+Y42+AA42)</f>
        <v>0</v>
      </c>
      <c r="AP42">
        <f>(+C42+G42+I42+O42+Q42+S42+W42)</f>
        <v>0</v>
      </c>
      <c r="AV42" t="s">
        <v>22</v>
      </c>
      <c r="AW42">
        <v>90</v>
      </c>
      <c r="AX42">
        <v>97</v>
      </c>
      <c r="AY42">
        <v>70</v>
      </c>
      <c r="AZ42">
        <v>110</v>
      </c>
      <c r="BA42">
        <v>74</v>
      </c>
      <c r="BB42">
        <v>76</v>
      </c>
      <c r="BC42">
        <v>59</v>
      </c>
      <c r="BD42">
        <v>48</v>
      </c>
      <c r="BE42">
        <v>67</v>
      </c>
      <c r="BF42">
        <v>89</v>
      </c>
      <c r="BG42" t="s">
        <v>22</v>
      </c>
    </row>
    <row r="43" spans="1:59" x14ac:dyDescent="0.25">
      <c r="A43" t="s">
        <v>224</v>
      </c>
      <c r="B43" t="s">
        <v>10</v>
      </c>
      <c r="C43">
        <v>0</v>
      </c>
      <c r="D43" t="s">
        <v>27</v>
      </c>
      <c r="E43">
        <v>0</v>
      </c>
      <c r="F43" t="s">
        <v>118</v>
      </c>
      <c r="G43">
        <v>0</v>
      </c>
      <c r="AF43" t="s">
        <v>22</v>
      </c>
      <c r="AG43">
        <f>(+C43+E43)</f>
        <v>0</v>
      </c>
      <c r="AH43">
        <f>(+E43+G43)</f>
        <v>0</v>
      </c>
      <c r="AI43">
        <f>(+C43+E43)</f>
        <v>0</v>
      </c>
      <c r="AJ43">
        <f>(+E43+G43)</f>
        <v>0</v>
      </c>
      <c r="AK43">
        <f>(+G43)</f>
        <v>0</v>
      </c>
      <c r="AV43" t="s">
        <v>22</v>
      </c>
      <c r="AW43">
        <v>10</v>
      </c>
      <c r="AX43">
        <v>28</v>
      </c>
      <c r="AY43">
        <v>10</v>
      </c>
      <c r="AZ43">
        <v>28</v>
      </c>
      <c r="BA43">
        <v>18</v>
      </c>
      <c r="BB43" t="s">
        <v>22</v>
      </c>
    </row>
    <row r="44" spans="1:59" x14ac:dyDescent="0.25">
      <c r="A44" t="s">
        <v>225</v>
      </c>
      <c r="B44" t="s">
        <v>226</v>
      </c>
      <c r="C44">
        <v>0</v>
      </c>
      <c r="D44" t="s">
        <v>227</v>
      </c>
      <c r="E44">
        <v>0</v>
      </c>
      <c r="F44" t="s">
        <v>228</v>
      </c>
      <c r="G44">
        <v>0</v>
      </c>
      <c r="H44" t="s">
        <v>229</v>
      </c>
      <c r="I44">
        <v>0</v>
      </c>
      <c r="J44" t="s">
        <v>230</v>
      </c>
      <c r="K44">
        <v>0</v>
      </c>
      <c r="L44" t="s">
        <v>231</v>
      </c>
      <c r="M44">
        <v>0</v>
      </c>
      <c r="N44" t="s">
        <v>232</v>
      </c>
      <c r="O44">
        <v>0</v>
      </c>
      <c r="P44" t="s">
        <v>233</v>
      </c>
      <c r="Q44">
        <v>0</v>
      </c>
      <c r="AF44" t="s">
        <v>22</v>
      </c>
      <c r="AG44">
        <f>(+M44+Q44)</f>
        <v>0</v>
      </c>
      <c r="AH44">
        <f>(+C44+I44+M44+Q44)</f>
        <v>0</v>
      </c>
      <c r="AI44">
        <f>(+E44+M44+O44)</f>
        <v>0</v>
      </c>
      <c r="AJ44">
        <f>(+E44+K44+Q44)</f>
        <v>0</v>
      </c>
      <c r="AK44">
        <f>(+G44+I44+M44+O44+Q44)</f>
        <v>0</v>
      </c>
      <c r="AL44">
        <f>(+C44+E44+I44)</f>
        <v>0</v>
      </c>
      <c r="AM44">
        <f>(+C44+K44+M44+O44+Q44)</f>
        <v>0</v>
      </c>
      <c r="AN44">
        <f>(+E44+G44+M44+Q44)</f>
        <v>0</v>
      </c>
      <c r="AO44">
        <f>(+E44+I44+M44+Q44)</f>
        <v>0</v>
      </c>
      <c r="AV44" t="s">
        <v>22</v>
      </c>
      <c r="AW44">
        <v>21</v>
      </c>
      <c r="AX44">
        <v>49</v>
      </c>
      <c r="AY44">
        <v>41</v>
      </c>
      <c r="AZ44">
        <v>41</v>
      </c>
      <c r="BA44">
        <v>47</v>
      </c>
      <c r="BB44">
        <v>48</v>
      </c>
      <c r="BC44">
        <v>62</v>
      </c>
      <c r="BD44">
        <v>49</v>
      </c>
      <c r="BE44">
        <v>49</v>
      </c>
      <c r="BF44" t="s">
        <v>22</v>
      </c>
    </row>
    <row r="45" spans="1:59" x14ac:dyDescent="0.25">
      <c r="A45" t="s">
        <v>234</v>
      </c>
      <c r="B45" t="s">
        <v>40</v>
      </c>
      <c r="C45">
        <v>0</v>
      </c>
      <c r="D45" t="s">
        <v>16</v>
      </c>
      <c r="E45">
        <v>0</v>
      </c>
      <c r="F45" t="s">
        <v>9</v>
      </c>
      <c r="G45">
        <v>0</v>
      </c>
      <c r="H45" t="s">
        <v>21</v>
      </c>
      <c r="I45">
        <v>0</v>
      </c>
      <c r="J45" t="s">
        <v>106</v>
      </c>
      <c r="K45">
        <v>0</v>
      </c>
      <c r="L45" t="s">
        <v>25</v>
      </c>
      <c r="M45">
        <v>0</v>
      </c>
      <c r="N45" t="s">
        <v>24</v>
      </c>
      <c r="O45">
        <v>0</v>
      </c>
      <c r="AF45" t="s">
        <v>22</v>
      </c>
      <c r="AG45">
        <f>(+C45+K45)</f>
        <v>0</v>
      </c>
      <c r="AH45">
        <f>(+E45+I45)</f>
        <v>0</v>
      </c>
      <c r="AI45">
        <f>(+C45+E45+G45+I45+K45+O45)</f>
        <v>0</v>
      </c>
      <c r="AJ45">
        <f>(+C45+E45+G45+M45)</f>
        <v>0</v>
      </c>
      <c r="AK45">
        <f>(+E45+K45+M45+O45)</f>
        <v>0</v>
      </c>
      <c r="AV45" t="s">
        <v>22</v>
      </c>
      <c r="AW45">
        <v>21</v>
      </c>
      <c r="AX45">
        <v>9</v>
      </c>
      <c r="AY45">
        <v>52</v>
      </c>
      <c r="AZ45">
        <v>34</v>
      </c>
      <c r="BA45">
        <v>33</v>
      </c>
      <c r="BB45" t="s">
        <v>22</v>
      </c>
    </row>
    <row r="46" spans="1:59" x14ac:dyDescent="0.25">
      <c r="A46" t="s">
        <v>235</v>
      </c>
      <c r="B46" t="s">
        <v>202</v>
      </c>
      <c r="C46">
        <v>0</v>
      </c>
      <c r="D46" t="s">
        <v>106</v>
      </c>
      <c r="E46">
        <v>0</v>
      </c>
      <c r="F46" t="s">
        <v>14</v>
      </c>
      <c r="G46">
        <v>0</v>
      </c>
      <c r="H46" t="s">
        <v>6</v>
      </c>
      <c r="I46">
        <v>0</v>
      </c>
      <c r="J46" t="s">
        <v>15</v>
      </c>
      <c r="K46">
        <v>0</v>
      </c>
      <c r="L46" t="s">
        <v>40</v>
      </c>
      <c r="M46">
        <v>0</v>
      </c>
      <c r="N46" t="s">
        <v>8</v>
      </c>
      <c r="O46">
        <v>0</v>
      </c>
      <c r="AF46" t="s">
        <v>22</v>
      </c>
      <c r="AG46">
        <f>(+E46+G46+K46+M46)</f>
        <v>0</v>
      </c>
      <c r="AH46">
        <f>(+C46+K46)</f>
        <v>0</v>
      </c>
      <c r="AI46">
        <f>(+E46+K46+M46+O46)</f>
        <v>0</v>
      </c>
      <c r="AJ46">
        <f>(+I46+M46)</f>
        <v>0</v>
      </c>
      <c r="AK46">
        <f>(+C46+E46+G46)</f>
        <v>0</v>
      </c>
      <c r="AV46" t="s">
        <v>22</v>
      </c>
      <c r="AW46">
        <v>35</v>
      </c>
      <c r="AX46">
        <v>10</v>
      </c>
      <c r="AY46">
        <v>44</v>
      </c>
      <c r="AZ46">
        <v>21</v>
      </c>
      <c r="BA46">
        <v>33</v>
      </c>
      <c r="BB46" t="s">
        <v>22</v>
      </c>
    </row>
    <row r="47" spans="1:59" x14ac:dyDescent="0.25">
      <c r="A47" t="s">
        <v>236</v>
      </c>
      <c r="B47" t="s">
        <v>57</v>
      </c>
      <c r="C47">
        <v>0</v>
      </c>
      <c r="D47" t="s">
        <v>237</v>
      </c>
      <c r="E47">
        <v>0</v>
      </c>
      <c r="F47" t="s">
        <v>26</v>
      </c>
      <c r="G47">
        <v>0</v>
      </c>
      <c r="H47" t="s">
        <v>24</v>
      </c>
      <c r="I47">
        <v>0</v>
      </c>
      <c r="J47" t="s">
        <v>13</v>
      </c>
      <c r="K47">
        <v>0</v>
      </c>
      <c r="L47" t="s">
        <v>226</v>
      </c>
      <c r="M47">
        <v>0</v>
      </c>
      <c r="N47" t="s">
        <v>238</v>
      </c>
      <c r="O47">
        <v>0</v>
      </c>
      <c r="P47" t="s">
        <v>30</v>
      </c>
      <c r="Q47">
        <v>0</v>
      </c>
      <c r="AF47" t="s">
        <v>22</v>
      </c>
      <c r="AG47">
        <f>(+G47+K47+Q47)</f>
        <v>0</v>
      </c>
      <c r="AH47">
        <f>(+C47+M47+O47+Q47)</f>
        <v>0</v>
      </c>
      <c r="AI47">
        <f>(+C47+G47+I47+K47+O47+Q47)</f>
        <v>0</v>
      </c>
      <c r="AJ47">
        <f>(+G47+K47)</f>
        <v>0</v>
      </c>
      <c r="AK47">
        <f>(+E47+I47+K47+O47+Q47)</f>
        <v>0</v>
      </c>
      <c r="AL47">
        <f>(+E47+G47+M47+O47)</f>
        <v>0</v>
      </c>
      <c r="AM47">
        <f>(+C47+E47+M47+O47+Q47)</f>
        <v>0</v>
      </c>
      <c r="AV47" t="s">
        <v>22</v>
      </c>
      <c r="AW47">
        <v>29</v>
      </c>
      <c r="AX47">
        <v>33</v>
      </c>
      <c r="AY47">
        <v>66</v>
      </c>
      <c r="AZ47">
        <v>26</v>
      </c>
      <c r="BA47">
        <v>59</v>
      </c>
      <c r="BB47">
        <v>35</v>
      </c>
      <c r="BC47">
        <v>39</v>
      </c>
      <c r="BD47" t="s">
        <v>22</v>
      </c>
    </row>
    <row r="48" spans="1:59" x14ac:dyDescent="0.25">
      <c r="A48" t="s">
        <v>239</v>
      </c>
      <c r="B48" t="s">
        <v>87</v>
      </c>
      <c r="C48">
        <v>0</v>
      </c>
      <c r="D48" t="s">
        <v>240</v>
      </c>
      <c r="E48">
        <v>0</v>
      </c>
      <c r="F48" t="s">
        <v>241</v>
      </c>
      <c r="G48">
        <v>0</v>
      </c>
      <c r="H48" t="s">
        <v>75</v>
      </c>
      <c r="I48">
        <v>0</v>
      </c>
      <c r="J48" t="s">
        <v>242</v>
      </c>
      <c r="K48">
        <v>0</v>
      </c>
      <c r="L48" t="s">
        <v>124</v>
      </c>
      <c r="M48">
        <v>0</v>
      </c>
      <c r="N48" t="s">
        <v>243</v>
      </c>
      <c r="O48">
        <v>0</v>
      </c>
      <c r="P48" t="s">
        <v>31</v>
      </c>
      <c r="Q48">
        <v>0</v>
      </c>
      <c r="AF48" t="s">
        <v>22</v>
      </c>
      <c r="AG48">
        <f>(+E48+I48)</f>
        <v>0</v>
      </c>
      <c r="AH48">
        <f>(+C48+O48+Q48)</f>
        <v>0</v>
      </c>
      <c r="AI48">
        <f>(+E48+G48+K48+Q48)</f>
        <v>0</v>
      </c>
      <c r="AJ48">
        <f>(+C48+G48+O48)</f>
        <v>0</v>
      </c>
      <c r="AK48">
        <f>(+E48+G48+I48+Q48)</f>
        <v>0</v>
      </c>
      <c r="AL48">
        <f>(+E48+I48+K48+M48+O48)</f>
        <v>0</v>
      </c>
      <c r="AM48">
        <f>(+C48+I48+K48+M48+O48+Q48)</f>
        <v>0</v>
      </c>
      <c r="AN48">
        <f>(+G48+I48+K48+M48)</f>
        <v>0</v>
      </c>
      <c r="AV48" t="s">
        <v>22</v>
      </c>
      <c r="AW48">
        <v>9</v>
      </c>
      <c r="AX48">
        <v>38</v>
      </c>
      <c r="AY48">
        <v>31</v>
      </c>
      <c r="AZ48">
        <v>36</v>
      </c>
      <c r="BA48">
        <v>31</v>
      </c>
      <c r="BB48">
        <v>37</v>
      </c>
      <c r="BC48">
        <v>61</v>
      </c>
      <c r="BD48">
        <v>33</v>
      </c>
      <c r="BE48" t="s">
        <v>22</v>
      </c>
    </row>
    <row r="49" spans="1:59" x14ac:dyDescent="0.25">
      <c r="A49" t="s">
        <v>244</v>
      </c>
      <c r="B49" t="s">
        <v>54</v>
      </c>
      <c r="C49">
        <v>0</v>
      </c>
      <c r="D49" t="s">
        <v>245</v>
      </c>
      <c r="E49">
        <v>0</v>
      </c>
      <c r="F49" t="s">
        <v>58</v>
      </c>
      <c r="G49">
        <v>0</v>
      </c>
      <c r="H49" t="s">
        <v>246</v>
      </c>
      <c r="I49">
        <v>0</v>
      </c>
      <c r="J49" t="s">
        <v>25</v>
      </c>
      <c r="K49">
        <v>0</v>
      </c>
      <c r="AF49" t="s">
        <v>22</v>
      </c>
      <c r="AG49">
        <f>(+E49+I49)</f>
        <v>0</v>
      </c>
      <c r="AH49">
        <f>(+C49)</f>
        <v>0</v>
      </c>
      <c r="AI49">
        <f>(+C49+E49+G49+I49)</f>
        <v>0</v>
      </c>
      <c r="AJ49">
        <f>(+C49+G49+K49)</f>
        <v>0</v>
      </c>
      <c r="AK49">
        <f>(+G49+I49+K49)</f>
        <v>0</v>
      </c>
      <c r="AL49">
        <f>(+C49+E49+G49)</f>
        <v>0</v>
      </c>
      <c r="AM49">
        <f>(+C49+I49)</f>
        <v>0</v>
      </c>
      <c r="AV49" t="s">
        <v>22</v>
      </c>
      <c r="AW49">
        <v>20</v>
      </c>
      <c r="AX49">
        <v>10</v>
      </c>
      <c r="AY49">
        <v>43</v>
      </c>
      <c r="AZ49">
        <v>27</v>
      </c>
      <c r="BA49">
        <v>28</v>
      </c>
      <c r="BB49">
        <v>32</v>
      </c>
      <c r="BC49">
        <v>21</v>
      </c>
      <c r="BD49" t="s">
        <v>22</v>
      </c>
    </row>
    <row r="50" spans="1:59" x14ac:dyDescent="0.25">
      <c r="A50" t="s">
        <v>247</v>
      </c>
      <c r="B50" t="s">
        <v>226</v>
      </c>
      <c r="C50">
        <v>0</v>
      </c>
      <c r="D50" t="s">
        <v>232</v>
      </c>
      <c r="E50">
        <v>0</v>
      </c>
      <c r="F50" t="s">
        <v>123</v>
      </c>
      <c r="G50">
        <v>0</v>
      </c>
      <c r="H50" t="s">
        <v>248</v>
      </c>
      <c r="I50">
        <v>0</v>
      </c>
      <c r="J50" t="s">
        <v>249</v>
      </c>
      <c r="K50">
        <v>0</v>
      </c>
      <c r="L50" t="s">
        <v>250</v>
      </c>
      <c r="M50">
        <v>0</v>
      </c>
      <c r="N50" t="s">
        <v>182</v>
      </c>
      <c r="O50">
        <v>0</v>
      </c>
      <c r="P50" t="s">
        <v>251</v>
      </c>
      <c r="Q50">
        <v>0</v>
      </c>
      <c r="AF50" t="s">
        <v>22</v>
      </c>
      <c r="AG50">
        <f>(+I50+K50+O50)</f>
        <v>0</v>
      </c>
      <c r="AH50">
        <f>(+C50+G50+I50+M50)</f>
        <v>0</v>
      </c>
      <c r="AI50">
        <f>(+E50+I50+K50+O50)</f>
        <v>0</v>
      </c>
      <c r="AJ50">
        <f>(+I50+O50+Q50)</f>
        <v>0</v>
      </c>
      <c r="AK50">
        <f>(+E50+G50+I50+O50)</f>
        <v>0</v>
      </c>
      <c r="AL50">
        <f>(+C50+K50)</f>
        <v>0</v>
      </c>
      <c r="AM50">
        <f>(+C50+E50+I50+K50+M50)</f>
        <v>0</v>
      </c>
      <c r="AN50">
        <f>(+G50+I50+K50+M50+O50+Q50)</f>
        <v>0</v>
      </c>
      <c r="AO50">
        <f>(+I50)</f>
        <v>0</v>
      </c>
      <c r="AV50" t="s">
        <v>22</v>
      </c>
      <c r="AW50">
        <v>11</v>
      </c>
      <c r="AX50">
        <v>32</v>
      </c>
      <c r="AY50">
        <v>13</v>
      </c>
      <c r="AZ50">
        <v>26</v>
      </c>
      <c r="BA50">
        <v>13</v>
      </c>
      <c r="BB50">
        <v>25</v>
      </c>
      <c r="BC50">
        <v>34</v>
      </c>
      <c r="BD50">
        <v>37</v>
      </c>
      <c r="BE50">
        <v>6</v>
      </c>
      <c r="BF50" t="s">
        <v>22</v>
      </c>
    </row>
    <row r="51" spans="1:59" x14ac:dyDescent="0.25">
      <c r="A51" t="s">
        <v>252</v>
      </c>
      <c r="B51" t="s">
        <v>11</v>
      </c>
      <c r="C51">
        <v>0</v>
      </c>
      <c r="D51" t="s">
        <v>128</v>
      </c>
      <c r="E51">
        <v>0</v>
      </c>
      <c r="F51" t="s">
        <v>40</v>
      </c>
      <c r="G51">
        <v>0</v>
      </c>
      <c r="H51" t="s">
        <v>9</v>
      </c>
      <c r="I51">
        <v>0</v>
      </c>
      <c r="J51" t="s">
        <v>6</v>
      </c>
      <c r="K51">
        <v>0</v>
      </c>
      <c r="L51" t="s">
        <v>253</v>
      </c>
      <c r="M51">
        <v>0</v>
      </c>
      <c r="N51" t="s">
        <v>38</v>
      </c>
      <c r="O51">
        <v>0</v>
      </c>
      <c r="AF51" t="s">
        <v>22</v>
      </c>
      <c r="AG51">
        <f>(+C51+E51+G51+M51)</f>
        <v>0</v>
      </c>
      <c r="AH51">
        <f>(+C51+E51+O51)</f>
        <v>0</v>
      </c>
      <c r="AI51">
        <f>(+G51+I51)</f>
        <v>0</v>
      </c>
      <c r="AJ51">
        <f>(+G51+I51+K51)</f>
        <v>0</v>
      </c>
      <c r="AK51">
        <f>(+E51)</f>
        <v>0</v>
      </c>
      <c r="AV51" t="s">
        <v>22</v>
      </c>
      <c r="AW51">
        <v>33</v>
      </c>
      <c r="AX51">
        <v>33</v>
      </c>
      <c r="AY51">
        <v>183</v>
      </c>
      <c r="AZ51">
        <v>186</v>
      </c>
      <c r="BA51">
        <v>3</v>
      </c>
      <c r="BB51" t="s">
        <v>22</v>
      </c>
    </row>
    <row r="52" spans="1:59" x14ac:dyDescent="0.25">
      <c r="A52" t="s">
        <v>254</v>
      </c>
      <c r="B52" t="s">
        <v>255</v>
      </c>
      <c r="C52">
        <v>0</v>
      </c>
      <c r="D52" t="s">
        <v>19</v>
      </c>
      <c r="E52">
        <v>0</v>
      </c>
      <c r="F52" t="s">
        <v>118</v>
      </c>
      <c r="G52">
        <v>0</v>
      </c>
      <c r="H52" t="s">
        <v>256</v>
      </c>
      <c r="I52">
        <v>0</v>
      </c>
      <c r="J52" t="s">
        <v>257</v>
      </c>
      <c r="K52">
        <v>0</v>
      </c>
      <c r="L52" t="s">
        <v>238</v>
      </c>
      <c r="M52">
        <v>0</v>
      </c>
      <c r="N52" t="s">
        <v>13</v>
      </c>
      <c r="O52">
        <v>0</v>
      </c>
      <c r="AF52" t="s">
        <v>22</v>
      </c>
      <c r="AG52">
        <f>(+E52+I52+K52+O52)</f>
        <v>0</v>
      </c>
      <c r="AH52">
        <f>(+C52+G52+K52+M52)</f>
        <v>0</v>
      </c>
      <c r="AI52">
        <f>(+I52+K52+M52+O52)</f>
        <v>0</v>
      </c>
      <c r="AJ52">
        <f>(+C52+E52+G52+I52+K52+O52)</f>
        <v>0</v>
      </c>
      <c r="AK52">
        <f>(+E52+G52+M52+O52)</f>
        <v>0</v>
      </c>
      <c r="AL52">
        <f>(+C52+M52)</f>
        <v>0</v>
      </c>
      <c r="AM52">
        <f>(+I52+K52+M52)</f>
        <v>0</v>
      </c>
      <c r="AV52" t="s">
        <v>22</v>
      </c>
      <c r="AW52">
        <v>62</v>
      </c>
      <c r="AX52">
        <v>36</v>
      </c>
      <c r="AY52">
        <v>54</v>
      </c>
      <c r="AZ52">
        <v>80</v>
      </c>
      <c r="BA52">
        <v>33</v>
      </c>
      <c r="BB52">
        <v>11</v>
      </c>
      <c r="BC52">
        <v>36</v>
      </c>
      <c r="BD52" t="s">
        <v>22</v>
      </c>
    </row>
    <row r="53" spans="1:59" x14ac:dyDescent="0.25">
      <c r="A53" t="s">
        <v>258</v>
      </c>
      <c r="B53" t="s">
        <v>259</v>
      </c>
      <c r="C53">
        <v>0</v>
      </c>
      <c r="D53" t="s">
        <v>260</v>
      </c>
      <c r="E53">
        <v>0</v>
      </c>
      <c r="F53" t="s">
        <v>261</v>
      </c>
      <c r="G53">
        <v>0</v>
      </c>
      <c r="H53" t="s">
        <v>206</v>
      </c>
      <c r="I53">
        <v>0</v>
      </c>
      <c r="J53" t="s">
        <v>262</v>
      </c>
      <c r="K53">
        <v>0</v>
      </c>
      <c r="L53" t="s">
        <v>79</v>
      </c>
      <c r="M53">
        <v>0</v>
      </c>
      <c r="N53" t="s">
        <v>263</v>
      </c>
      <c r="O53">
        <v>0</v>
      </c>
      <c r="P53" t="s">
        <v>264</v>
      </c>
      <c r="Q53">
        <v>0</v>
      </c>
      <c r="AF53" t="s">
        <v>22</v>
      </c>
      <c r="AG53">
        <f>(+C53+G53+M53+Q53)</f>
        <v>0</v>
      </c>
      <c r="AH53">
        <f>(+C53+G53+I53+O53)</f>
        <v>0</v>
      </c>
      <c r="AI53">
        <f>(+C53+G53+K53)</f>
        <v>0</v>
      </c>
      <c r="AJ53">
        <f>(+C53+G53+M53)</f>
        <v>0</v>
      </c>
      <c r="AK53">
        <f>(+E53+G53+M53+O53+Q53)</f>
        <v>0</v>
      </c>
      <c r="AL53">
        <f>(+C53+G53)</f>
        <v>0</v>
      </c>
      <c r="AM53">
        <f>(+G53+M53+Q53)</f>
        <v>0</v>
      </c>
      <c r="AN53">
        <f>(+G53+I53+K53+O53)</f>
        <v>0</v>
      </c>
      <c r="AO53">
        <f>(+E53+G53+I53+Q53)</f>
        <v>0</v>
      </c>
      <c r="AP53">
        <f>(+C53+E53+M53+O53)</f>
        <v>0</v>
      </c>
      <c r="AV53" t="s">
        <v>22</v>
      </c>
      <c r="AW53">
        <v>41</v>
      </c>
      <c r="AX53">
        <v>27</v>
      </c>
      <c r="AY53">
        <v>33</v>
      </c>
      <c r="AZ53">
        <v>26</v>
      </c>
      <c r="BA53">
        <v>55</v>
      </c>
      <c r="BB53">
        <v>17</v>
      </c>
      <c r="BC53">
        <v>34</v>
      </c>
      <c r="BD53">
        <v>36</v>
      </c>
      <c r="BE53">
        <v>44</v>
      </c>
      <c r="BF53">
        <v>37</v>
      </c>
      <c r="BG53" t="s">
        <v>22</v>
      </c>
    </row>
    <row r="54" spans="1:59" x14ac:dyDescent="0.25">
      <c r="A54" t="s">
        <v>265</v>
      </c>
      <c r="B54" t="s">
        <v>106</v>
      </c>
      <c r="C54">
        <v>0</v>
      </c>
      <c r="D54" t="s">
        <v>169</v>
      </c>
      <c r="E54">
        <v>0</v>
      </c>
      <c r="F54" t="s">
        <v>118</v>
      </c>
      <c r="G54">
        <v>0</v>
      </c>
      <c r="H54" t="s">
        <v>128</v>
      </c>
      <c r="I54">
        <v>0</v>
      </c>
      <c r="J54" t="s">
        <v>10</v>
      </c>
      <c r="K54">
        <v>0</v>
      </c>
      <c r="L54" t="s">
        <v>21</v>
      </c>
      <c r="M54">
        <v>0</v>
      </c>
      <c r="AF54" t="s">
        <v>22</v>
      </c>
      <c r="AG54">
        <f>(+C54+I54+K54)</f>
        <v>0</v>
      </c>
      <c r="AH54">
        <f>(+G54+I54+M54)</f>
        <v>0</v>
      </c>
      <c r="AI54">
        <f>(+C54+E54+K54+M54)</f>
        <v>0</v>
      </c>
      <c r="AJ54">
        <f>(+E54+G54)</f>
        <v>0</v>
      </c>
      <c r="AK54">
        <f>(+C54+E54+G54+I54)</f>
        <v>0</v>
      </c>
      <c r="AV54" t="s">
        <v>22</v>
      </c>
      <c r="AW54">
        <v>23</v>
      </c>
      <c r="AX54">
        <v>31</v>
      </c>
      <c r="AY54">
        <v>46</v>
      </c>
      <c r="AZ54">
        <v>16</v>
      </c>
      <c r="BA54">
        <v>22</v>
      </c>
      <c r="BB54" t="s">
        <v>22</v>
      </c>
    </row>
    <row r="55" spans="1:59" x14ac:dyDescent="0.25">
      <c r="A55" t="s">
        <v>266</v>
      </c>
      <c r="B55" t="s">
        <v>267</v>
      </c>
      <c r="C55">
        <v>0</v>
      </c>
      <c r="D55" t="s">
        <v>268</v>
      </c>
      <c r="E55">
        <v>0</v>
      </c>
      <c r="F55" t="s">
        <v>269</v>
      </c>
      <c r="G55">
        <v>0</v>
      </c>
      <c r="H55" t="s">
        <v>43</v>
      </c>
      <c r="I55">
        <v>0</v>
      </c>
      <c r="J55" t="s">
        <v>270</v>
      </c>
      <c r="K55">
        <v>0</v>
      </c>
      <c r="L55" t="s">
        <v>271</v>
      </c>
      <c r="M55">
        <v>0</v>
      </c>
      <c r="N55" t="s">
        <v>47</v>
      </c>
      <c r="O55">
        <v>0</v>
      </c>
      <c r="P55" t="s">
        <v>272</v>
      </c>
      <c r="Q55">
        <v>0</v>
      </c>
      <c r="R55" t="s">
        <v>228</v>
      </c>
      <c r="S55">
        <v>0</v>
      </c>
      <c r="T55" t="s">
        <v>273</v>
      </c>
      <c r="U55">
        <v>0</v>
      </c>
      <c r="V55" t="s">
        <v>274</v>
      </c>
      <c r="W55">
        <v>0</v>
      </c>
      <c r="AF55" t="s">
        <v>22</v>
      </c>
      <c r="AG55">
        <f>(+K55+M55+O55+Q55+U55)</f>
        <v>0</v>
      </c>
      <c r="AH55">
        <f>(+G55+M55+U55)</f>
        <v>0</v>
      </c>
      <c r="AI55">
        <f>(+E55+I55+K55+W55)</f>
        <v>0</v>
      </c>
      <c r="AJ55">
        <f>(+C55+G55+K55+M55+O55)</f>
        <v>0</v>
      </c>
      <c r="AK55">
        <f>(+E55+G55+I55+K55+M55+S55+U55)</f>
        <v>0</v>
      </c>
      <c r="AL55">
        <f>(+C55+I55+K55+U55)</f>
        <v>0</v>
      </c>
      <c r="AM55">
        <f>(+E55+G55+K55+M55+U55+W55)</f>
        <v>0</v>
      </c>
      <c r="AN55">
        <f>(+G55+M55+S55)</f>
        <v>0</v>
      </c>
      <c r="AO55">
        <f>(+C55+E55+G55+K55+Q55+W55)</f>
        <v>0</v>
      </c>
      <c r="AP55">
        <f>(+K55+M55+U55+W55)</f>
        <v>0</v>
      </c>
      <c r="AV55" t="s">
        <v>22</v>
      </c>
      <c r="AW55">
        <v>55</v>
      </c>
      <c r="AX55">
        <v>42</v>
      </c>
      <c r="AY55">
        <v>59</v>
      </c>
      <c r="AZ55">
        <v>72</v>
      </c>
      <c r="BA55">
        <v>99</v>
      </c>
      <c r="BB55">
        <v>45</v>
      </c>
      <c r="BC55">
        <v>83</v>
      </c>
      <c r="BD55">
        <v>48</v>
      </c>
      <c r="BE55">
        <v>78</v>
      </c>
      <c r="BF55">
        <v>47</v>
      </c>
      <c r="BG55" t="s">
        <v>22</v>
      </c>
    </row>
    <row r="56" spans="1:59" x14ac:dyDescent="0.25">
      <c r="A56" t="s">
        <v>275</v>
      </c>
      <c r="B56" t="s">
        <v>39</v>
      </c>
      <c r="C56">
        <v>0</v>
      </c>
      <c r="D56" t="s">
        <v>47</v>
      </c>
      <c r="E56">
        <v>0</v>
      </c>
      <c r="F56" t="s">
        <v>21</v>
      </c>
      <c r="G56">
        <v>0</v>
      </c>
      <c r="AF56" t="s">
        <v>22</v>
      </c>
      <c r="AG56">
        <f>(+C56+E56)</f>
        <v>0</v>
      </c>
      <c r="AH56">
        <f>(+C56+G56)</f>
        <v>0</v>
      </c>
      <c r="AI56">
        <f>(+G56)</f>
        <v>0</v>
      </c>
      <c r="AJ56">
        <f>(+C56+E56)</f>
        <v>0</v>
      </c>
      <c r="AV56" t="s">
        <v>22</v>
      </c>
      <c r="AW56">
        <v>7</v>
      </c>
      <c r="AX56">
        <v>17</v>
      </c>
      <c r="AY56">
        <v>15</v>
      </c>
      <c r="AZ56">
        <v>7</v>
      </c>
      <c r="BA56" t="s">
        <v>22</v>
      </c>
    </row>
    <row r="57" spans="1:59" x14ac:dyDescent="0.25">
      <c r="A57" t="s">
        <v>276</v>
      </c>
      <c r="B57" t="s">
        <v>277</v>
      </c>
      <c r="C57">
        <v>0</v>
      </c>
      <c r="D57" t="s">
        <v>278</v>
      </c>
      <c r="E57">
        <v>0</v>
      </c>
      <c r="F57" t="s">
        <v>13</v>
      </c>
      <c r="G57">
        <v>0</v>
      </c>
      <c r="H57" t="s">
        <v>68</v>
      </c>
      <c r="I57">
        <v>0</v>
      </c>
      <c r="J57" t="s">
        <v>7</v>
      </c>
      <c r="K57">
        <v>0</v>
      </c>
      <c r="L57" t="s">
        <v>56</v>
      </c>
      <c r="M57">
        <v>0</v>
      </c>
      <c r="N57" t="s">
        <v>231</v>
      </c>
      <c r="O57">
        <v>0</v>
      </c>
      <c r="P57" t="s">
        <v>30</v>
      </c>
      <c r="Q57">
        <v>0</v>
      </c>
      <c r="AF57" t="s">
        <v>22</v>
      </c>
      <c r="AG57">
        <f>(+G57+I57+O57+Q57)</f>
        <v>0</v>
      </c>
      <c r="AH57">
        <f>(+C57+K57+O57+Q57)</f>
        <v>0</v>
      </c>
      <c r="AI57">
        <f>(+C57+G57+M57+O57+Q57)</f>
        <v>0</v>
      </c>
      <c r="AJ57">
        <f>(+G57+I57+K57)</f>
        <v>0</v>
      </c>
      <c r="AK57">
        <f>(+C57+E57+G57+O57+Q57)</f>
        <v>0</v>
      </c>
      <c r="AL57">
        <f>(+M57)</f>
        <v>0</v>
      </c>
      <c r="AM57">
        <f>(+C57+E57+O57+Q57)</f>
        <v>0</v>
      </c>
      <c r="AN57">
        <f>(+I57+O57)</f>
        <v>0</v>
      </c>
      <c r="AO57">
        <f>(+C57+O57)</f>
        <v>0</v>
      </c>
      <c r="AV57" t="s">
        <v>22</v>
      </c>
      <c r="AW57">
        <v>38</v>
      </c>
      <c r="AX57">
        <v>35</v>
      </c>
      <c r="AY57">
        <v>33</v>
      </c>
      <c r="AZ57">
        <v>27</v>
      </c>
      <c r="BA57">
        <v>39</v>
      </c>
      <c r="BB57">
        <v>4</v>
      </c>
      <c r="BC57">
        <v>36</v>
      </c>
      <c r="BD57">
        <v>15</v>
      </c>
      <c r="BE57">
        <v>6</v>
      </c>
      <c r="BF57" t="s">
        <v>22</v>
      </c>
    </row>
    <row r="58" spans="1:59" x14ac:dyDescent="0.25">
      <c r="A58" t="s">
        <v>279</v>
      </c>
      <c r="B58" t="s">
        <v>280</v>
      </c>
      <c r="C58">
        <v>0</v>
      </c>
      <c r="D58" t="s">
        <v>281</v>
      </c>
      <c r="E58">
        <v>0</v>
      </c>
      <c r="F58" t="s">
        <v>282</v>
      </c>
      <c r="G58">
        <v>0</v>
      </c>
      <c r="H58" t="s">
        <v>283</v>
      </c>
      <c r="I58">
        <v>0</v>
      </c>
      <c r="J58" t="s">
        <v>237</v>
      </c>
      <c r="K58">
        <v>0</v>
      </c>
      <c r="L58" t="s">
        <v>284</v>
      </c>
      <c r="M58">
        <v>0</v>
      </c>
      <c r="N58" t="s">
        <v>285</v>
      </c>
      <c r="O58">
        <v>0</v>
      </c>
      <c r="P58" t="s">
        <v>257</v>
      </c>
      <c r="Q58">
        <v>0</v>
      </c>
      <c r="R58" t="s">
        <v>56</v>
      </c>
      <c r="S58">
        <v>0</v>
      </c>
      <c r="T58" t="s">
        <v>286</v>
      </c>
      <c r="U58">
        <v>0</v>
      </c>
      <c r="AF58" t="s">
        <v>22</v>
      </c>
      <c r="AG58">
        <f>(+C58+E58+Q58)</f>
        <v>0</v>
      </c>
      <c r="AH58">
        <f>(+C58+G58+O58+Q58+U58)</f>
        <v>0</v>
      </c>
      <c r="AI58">
        <f>(+C58+I58+O58+Q58+S58)</f>
        <v>0</v>
      </c>
      <c r="AJ58">
        <f>(+C58+M58+O58+Q58)</f>
        <v>0</v>
      </c>
      <c r="AK58">
        <f>(+C58+G58+K58+M58+O58+U58)</f>
        <v>0</v>
      </c>
      <c r="AL58">
        <f>(+C58+E58+G58+I58+K58+M58+O58+S58)</f>
        <v>0</v>
      </c>
      <c r="AM58">
        <f>(+E58+G58+K58+M58+O58+Q58+U58)</f>
        <v>0</v>
      </c>
      <c r="AN58">
        <f>(+E58+I58+M58+O58+U58)</f>
        <v>0</v>
      </c>
      <c r="AV58" t="s">
        <v>22</v>
      </c>
      <c r="AW58">
        <v>36</v>
      </c>
      <c r="AX58">
        <v>47</v>
      </c>
      <c r="AY58">
        <v>48</v>
      </c>
      <c r="AZ58">
        <v>28</v>
      </c>
      <c r="BA58">
        <v>63</v>
      </c>
      <c r="BB58">
        <v>86</v>
      </c>
      <c r="BC58">
        <v>63</v>
      </c>
      <c r="BD58">
        <v>53</v>
      </c>
      <c r="BE58" t="s">
        <v>22</v>
      </c>
    </row>
    <row r="59" spans="1:59" x14ac:dyDescent="0.25">
      <c r="A59" t="s">
        <v>287</v>
      </c>
      <c r="B59" t="s">
        <v>50</v>
      </c>
      <c r="C59">
        <v>0</v>
      </c>
      <c r="D59" t="s">
        <v>11</v>
      </c>
      <c r="E59">
        <v>0</v>
      </c>
      <c r="F59" t="s">
        <v>6</v>
      </c>
      <c r="G59">
        <v>0</v>
      </c>
      <c r="H59" t="s">
        <v>40</v>
      </c>
      <c r="I59">
        <v>0</v>
      </c>
      <c r="AF59" t="s">
        <v>22</v>
      </c>
      <c r="AG59">
        <f>(+E59+I59)</f>
        <v>0</v>
      </c>
      <c r="AH59">
        <f>(+C59+E59)</f>
        <v>0</v>
      </c>
      <c r="AI59">
        <f>(+C59+I59)</f>
        <v>0</v>
      </c>
      <c r="AJ59">
        <f>(+C59+G59+I59)</f>
        <v>0</v>
      </c>
      <c r="AV59" t="s">
        <v>22</v>
      </c>
      <c r="AW59">
        <v>16</v>
      </c>
      <c r="AX59">
        <v>20</v>
      </c>
      <c r="AY59">
        <v>6</v>
      </c>
      <c r="AZ59">
        <v>9</v>
      </c>
      <c r="BA59" t="s">
        <v>22</v>
      </c>
    </row>
    <row r="60" spans="1:59" x14ac:dyDescent="0.25">
      <c r="A60" t="s">
        <v>288</v>
      </c>
      <c r="B60" t="s">
        <v>204</v>
      </c>
      <c r="C60">
        <v>0</v>
      </c>
      <c r="D60" t="s">
        <v>50</v>
      </c>
      <c r="E60">
        <v>0</v>
      </c>
      <c r="F60" t="s">
        <v>16</v>
      </c>
      <c r="G60">
        <v>0</v>
      </c>
      <c r="AF60" t="s">
        <v>22</v>
      </c>
      <c r="AG60">
        <f>(+C60)</f>
        <v>0</v>
      </c>
      <c r="AH60">
        <f>(+C60+E60+G60)</f>
        <v>0</v>
      </c>
      <c r="AI60">
        <f>(+E60+G60)</f>
        <v>0</v>
      </c>
      <c r="AJ60">
        <f>(+C60+E60+G60)</f>
        <v>0</v>
      </c>
      <c r="AK60">
        <f>(+C60+G60)</f>
        <v>0</v>
      </c>
      <c r="AV60" t="s">
        <v>22</v>
      </c>
      <c r="AW60">
        <v>8</v>
      </c>
      <c r="AX60">
        <v>43</v>
      </c>
      <c r="AY60">
        <v>35</v>
      </c>
      <c r="AZ60">
        <v>43</v>
      </c>
      <c r="BA60">
        <v>27</v>
      </c>
      <c r="BB60" t="s">
        <v>22</v>
      </c>
    </row>
    <row r="61" spans="1:59" x14ac:dyDescent="0.25">
      <c r="A61" t="s">
        <v>289</v>
      </c>
      <c r="B61" t="s">
        <v>290</v>
      </c>
      <c r="C61">
        <v>0</v>
      </c>
      <c r="D61" t="s">
        <v>32</v>
      </c>
      <c r="E61">
        <v>0</v>
      </c>
      <c r="F61" t="s">
        <v>118</v>
      </c>
      <c r="G61">
        <v>0</v>
      </c>
      <c r="H61" t="s">
        <v>291</v>
      </c>
      <c r="I61">
        <v>0</v>
      </c>
      <c r="J61" t="s">
        <v>292</v>
      </c>
      <c r="K61">
        <v>0</v>
      </c>
      <c r="L61" t="s">
        <v>44</v>
      </c>
      <c r="M61">
        <v>0</v>
      </c>
      <c r="N61" t="s">
        <v>293</v>
      </c>
      <c r="O61">
        <v>0</v>
      </c>
      <c r="P61" t="s">
        <v>294</v>
      </c>
      <c r="Q61">
        <v>0</v>
      </c>
      <c r="R61" t="s">
        <v>156</v>
      </c>
      <c r="S61">
        <v>0</v>
      </c>
      <c r="AF61" t="s">
        <v>22</v>
      </c>
      <c r="AG61">
        <f>(+E61+I61+K61+S61)</f>
        <v>0</v>
      </c>
      <c r="AH61">
        <f>(+C61+G61+K61+O61)</f>
        <v>0</v>
      </c>
      <c r="AI61">
        <f>(+K61+Q61+S61)</f>
        <v>0</v>
      </c>
      <c r="AJ61">
        <f>(+G61+K61+O61)</f>
        <v>0</v>
      </c>
      <c r="AK61">
        <f>(+C61+G61+I61+M61+O61)</f>
        <v>0</v>
      </c>
      <c r="AL61">
        <f>(+C61+I61+K61+M61+O61)</f>
        <v>0</v>
      </c>
      <c r="AM61">
        <f>(+E61+K61+O61+Q61)</f>
        <v>0</v>
      </c>
      <c r="AN61">
        <f>(+I61+K61+S61)</f>
        <v>0</v>
      </c>
      <c r="AO61">
        <f>(+K61+O61+Q61)</f>
        <v>0</v>
      </c>
      <c r="AV61" t="s">
        <v>22</v>
      </c>
      <c r="AW61">
        <v>33</v>
      </c>
      <c r="AX61">
        <v>48</v>
      </c>
      <c r="AY61">
        <v>21</v>
      </c>
      <c r="AZ61">
        <v>30</v>
      </c>
      <c r="BA61">
        <v>51</v>
      </c>
      <c r="BB61">
        <v>64</v>
      </c>
      <c r="BC61">
        <v>38</v>
      </c>
      <c r="BD61">
        <v>23</v>
      </c>
      <c r="BE61">
        <v>28</v>
      </c>
      <c r="BF61" t="s">
        <v>22</v>
      </c>
    </row>
    <row r="62" spans="1:59" x14ac:dyDescent="0.25">
      <c r="A62" t="s">
        <v>295</v>
      </c>
      <c r="B62" t="s">
        <v>112</v>
      </c>
      <c r="C62">
        <v>0</v>
      </c>
      <c r="D62" t="s">
        <v>56</v>
      </c>
      <c r="E62">
        <v>0</v>
      </c>
      <c r="F62" t="s">
        <v>296</v>
      </c>
      <c r="G62">
        <v>0</v>
      </c>
      <c r="H62" t="s">
        <v>11</v>
      </c>
      <c r="I62">
        <v>0</v>
      </c>
      <c r="J62" t="s">
        <v>238</v>
      </c>
      <c r="K62">
        <v>0</v>
      </c>
      <c r="L62" t="s">
        <v>278</v>
      </c>
      <c r="M62">
        <v>0</v>
      </c>
      <c r="AF62" t="s">
        <v>22</v>
      </c>
      <c r="AG62">
        <f>(+C62+G62+I62)</f>
        <v>0</v>
      </c>
      <c r="AH62">
        <f>(+I62+K62)</f>
        <v>0</v>
      </c>
      <c r="AI62">
        <f>(+C62+E62+K62)</f>
        <v>0</v>
      </c>
      <c r="AJ62">
        <f>(+C62+G62)</f>
        <v>0</v>
      </c>
      <c r="AK62">
        <f>(+C62+K62+M62)</f>
        <v>0</v>
      </c>
      <c r="AL62">
        <f>(+E62+G62+K62)</f>
        <v>0</v>
      </c>
      <c r="AM62">
        <f>(+C62+G62+K62+M62)</f>
        <v>0</v>
      </c>
      <c r="AV62" t="s">
        <v>22</v>
      </c>
      <c r="AW62">
        <v>22</v>
      </c>
      <c r="AX62">
        <v>33</v>
      </c>
      <c r="AY62">
        <v>146</v>
      </c>
      <c r="AZ62">
        <v>4</v>
      </c>
      <c r="BA62">
        <v>33</v>
      </c>
      <c r="BB62">
        <v>146</v>
      </c>
      <c r="BC62">
        <v>35</v>
      </c>
      <c r="BD62" t="s">
        <v>22</v>
      </c>
    </row>
    <row r="63" spans="1:59" x14ac:dyDescent="0.25">
      <c r="A63" t="s">
        <v>297</v>
      </c>
      <c r="B63" t="s">
        <v>21</v>
      </c>
      <c r="C63">
        <v>0</v>
      </c>
      <c r="D63" t="s">
        <v>48</v>
      </c>
      <c r="E63">
        <v>0</v>
      </c>
      <c r="F63" t="s">
        <v>43</v>
      </c>
      <c r="G63">
        <v>0</v>
      </c>
      <c r="H63" t="s">
        <v>58</v>
      </c>
      <c r="I63">
        <v>0</v>
      </c>
      <c r="J63" t="s">
        <v>27</v>
      </c>
      <c r="K63">
        <v>0</v>
      </c>
      <c r="L63" t="s">
        <v>97</v>
      </c>
      <c r="M63">
        <v>0</v>
      </c>
      <c r="N63" t="s">
        <v>38</v>
      </c>
      <c r="O63">
        <v>0</v>
      </c>
      <c r="P63" t="s">
        <v>11</v>
      </c>
      <c r="Q63">
        <v>0</v>
      </c>
      <c r="AF63" t="s">
        <v>22</v>
      </c>
      <c r="AG63">
        <f>(+K63+Q63)</f>
        <v>0</v>
      </c>
      <c r="AH63">
        <f>(+C63+K63+O63+Q63)</f>
        <v>0</v>
      </c>
      <c r="AI63">
        <f>(+C63+G63+I63+K63+M63)</f>
        <v>0</v>
      </c>
      <c r="AJ63">
        <f>(+E63+I63+K63+M63)</f>
        <v>0</v>
      </c>
      <c r="AK63">
        <f>(+G63+I63)</f>
        <v>0</v>
      </c>
      <c r="AL63">
        <f>(+E63+G63+I63+M63)</f>
        <v>0</v>
      </c>
      <c r="AV63" t="s">
        <v>22</v>
      </c>
      <c r="AW63">
        <v>24</v>
      </c>
      <c r="AX63">
        <v>60</v>
      </c>
      <c r="AY63">
        <v>69</v>
      </c>
      <c r="AZ63">
        <v>34</v>
      </c>
      <c r="BA63">
        <v>27</v>
      </c>
      <c r="BB63">
        <v>39</v>
      </c>
      <c r="BC63" t="s">
        <v>22</v>
      </c>
    </row>
    <row r="64" spans="1:59" x14ac:dyDescent="0.25">
      <c r="A64" t="s">
        <v>298</v>
      </c>
      <c r="B64" t="s">
        <v>255</v>
      </c>
      <c r="C64">
        <v>0</v>
      </c>
      <c r="D64" t="s">
        <v>106</v>
      </c>
      <c r="E64">
        <v>0</v>
      </c>
      <c r="F64" t="s">
        <v>40</v>
      </c>
      <c r="G64">
        <v>0</v>
      </c>
      <c r="H64" t="s">
        <v>10</v>
      </c>
      <c r="I64">
        <v>0</v>
      </c>
      <c r="AF64" t="s">
        <v>22</v>
      </c>
      <c r="AG64">
        <f>(+E64+G64+I64)</f>
        <v>0</v>
      </c>
      <c r="AH64">
        <f>(+C64)</f>
        <v>0</v>
      </c>
      <c r="AI64">
        <f>(+E64+G64+I64)</f>
        <v>0</v>
      </c>
      <c r="AJ64">
        <f>(+C64+G64)</f>
        <v>0</v>
      </c>
      <c r="AK64">
        <f>(+E64)</f>
        <v>0</v>
      </c>
      <c r="AL64">
        <f>(+C64)</f>
        <v>0</v>
      </c>
      <c r="AV64" t="s">
        <v>22</v>
      </c>
      <c r="AW64">
        <v>27</v>
      </c>
      <c r="AX64">
        <v>16</v>
      </c>
      <c r="AY64">
        <v>27</v>
      </c>
      <c r="AZ64">
        <v>18</v>
      </c>
      <c r="BA64">
        <v>19</v>
      </c>
      <c r="BB64">
        <v>16</v>
      </c>
      <c r="BC64" t="s">
        <v>22</v>
      </c>
    </row>
    <row r="65" spans="1:59" x14ac:dyDescent="0.25">
      <c r="A65" t="s">
        <v>299</v>
      </c>
      <c r="B65" t="s">
        <v>300</v>
      </c>
      <c r="C65">
        <v>0</v>
      </c>
      <c r="D65" t="s">
        <v>301</v>
      </c>
      <c r="E65">
        <v>0</v>
      </c>
      <c r="F65" t="s">
        <v>118</v>
      </c>
      <c r="G65">
        <v>0</v>
      </c>
      <c r="H65" t="s">
        <v>232</v>
      </c>
      <c r="I65">
        <v>0</v>
      </c>
      <c r="J65" t="s">
        <v>302</v>
      </c>
      <c r="K65">
        <v>0</v>
      </c>
      <c r="L65" t="s">
        <v>303</v>
      </c>
      <c r="M65">
        <v>0</v>
      </c>
      <c r="AF65" t="s">
        <v>22</v>
      </c>
      <c r="AG65">
        <f>(+C65+E65+M65)</f>
        <v>0</v>
      </c>
      <c r="AH65">
        <f>(+E65+G65)</f>
        <v>0</v>
      </c>
      <c r="AI65">
        <f>(+C65+I65+M65)</f>
        <v>0</v>
      </c>
      <c r="AJ65">
        <f>(+G65)</f>
        <v>0</v>
      </c>
      <c r="AK65">
        <f>(+C65+G65+I65)</f>
        <v>0</v>
      </c>
      <c r="AL65">
        <f>(+C65+K65)</f>
        <v>0</v>
      </c>
      <c r="AM65">
        <f>(+C65+I65+K65+M65)</f>
        <v>0</v>
      </c>
      <c r="AN65">
        <f>(+C65+E65)</f>
        <v>0</v>
      </c>
      <c r="AV65" t="s">
        <v>22</v>
      </c>
      <c r="AW65">
        <v>28</v>
      </c>
      <c r="AX65">
        <v>28</v>
      </c>
      <c r="AY65">
        <v>21</v>
      </c>
      <c r="AZ65">
        <v>10</v>
      </c>
      <c r="BA65">
        <v>29</v>
      </c>
      <c r="BB65">
        <v>9</v>
      </c>
      <c r="BC65">
        <v>22</v>
      </c>
      <c r="BD65">
        <v>26</v>
      </c>
      <c r="BE65" t="s">
        <v>22</v>
      </c>
    </row>
    <row r="66" spans="1:59" x14ac:dyDescent="0.25">
      <c r="A66" t="s">
        <v>304</v>
      </c>
      <c r="B66" t="s">
        <v>15</v>
      </c>
      <c r="C66">
        <v>0</v>
      </c>
      <c r="D66" t="s">
        <v>40</v>
      </c>
      <c r="E66">
        <v>0</v>
      </c>
      <c r="F66" t="s">
        <v>9</v>
      </c>
      <c r="G66">
        <v>0</v>
      </c>
      <c r="AF66" t="s">
        <v>22</v>
      </c>
      <c r="AG66">
        <f>(+C66+E66)</f>
        <v>0</v>
      </c>
      <c r="AH66">
        <f>(+C66)</f>
        <v>0</v>
      </c>
      <c r="AI66">
        <f>(+C66+E66+G66)</f>
        <v>0</v>
      </c>
      <c r="AJ66">
        <f>(+E66+G66)</f>
        <v>0</v>
      </c>
      <c r="AV66" t="s">
        <v>22</v>
      </c>
      <c r="AW66">
        <v>8</v>
      </c>
      <c r="AX66">
        <v>7</v>
      </c>
      <c r="AY66">
        <v>25</v>
      </c>
      <c r="AZ66">
        <v>18</v>
      </c>
      <c r="BA66" t="s">
        <v>22</v>
      </c>
    </row>
    <row r="67" spans="1:59" x14ac:dyDescent="0.25">
      <c r="A67" t="s">
        <v>305</v>
      </c>
      <c r="B67" t="s">
        <v>100</v>
      </c>
      <c r="C67">
        <v>0</v>
      </c>
      <c r="D67" t="s">
        <v>9</v>
      </c>
      <c r="E67">
        <v>0</v>
      </c>
      <c r="F67" t="s">
        <v>87</v>
      </c>
      <c r="G67">
        <v>0</v>
      </c>
      <c r="H67" t="s">
        <v>306</v>
      </c>
      <c r="I67">
        <v>0</v>
      </c>
      <c r="J67" t="s">
        <v>307</v>
      </c>
      <c r="K67">
        <v>0</v>
      </c>
      <c r="AF67" t="s">
        <v>22</v>
      </c>
      <c r="AG67">
        <f>(+C67+I67)</f>
        <v>0</v>
      </c>
      <c r="AH67">
        <f>(+G67)</f>
        <v>0</v>
      </c>
      <c r="AI67">
        <f>(+E67+I67+K67)</f>
        <v>0</v>
      </c>
      <c r="AJ67">
        <f>(+C67+E67+G67+K67)</f>
        <v>0</v>
      </c>
      <c r="AK67">
        <f>(+C67+I67+K67)</f>
        <v>0</v>
      </c>
      <c r="AL67">
        <f>(+C67+I67)</f>
        <v>0</v>
      </c>
      <c r="AM67">
        <f>(+C67+G67+I67+K67)</f>
        <v>0</v>
      </c>
      <c r="AV67" t="s">
        <v>22</v>
      </c>
      <c r="AW67">
        <v>26</v>
      </c>
      <c r="AX67">
        <v>1</v>
      </c>
      <c r="AY67">
        <v>170</v>
      </c>
      <c r="AZ67">
        <v>183</v>
      </c>
      <c r="BA67">
        <v>41</v>
      </c>
      <c r="BB67">
        <v>26</v>
      </c>
      <c r="BC67">
        <v>42</v>
      </c>
      <c r="BD67" t="s">
        <v>22</v>
      </c>
    </row>
    <row r="68" spans="1:59" x14ac:dyDescent="0.25">
      <c r="A68" t="s">
        <v>308</v>
      </c>
      <c r="B68" t="s">
        <v>309</v>
      </c>
      <c r="C68">
        <v>0</v>
      </c>
      <c r="D68" t="s">
        <v>45</v>
      </c>
      <c r="E68">
        <v>0</v>
      </c>
      <c r="F68" t="s">
        <v>310</v>
      </c>
      <c r="G68">
        <v>0</v>
      </c>
      <c r="H68" t="s">
        <v>87</v>
      </c>
      <c r="I68">
        <v>0</v>
      </c>
      <c r="J68" t="s">
        <v>111</v>
      </c>
      <c r="K68">
        <v>0</v>
      </c>
      <c r="AF68" t="s">
        <v>22</v>
      </c>
      <c r="AG68">
        <f>(+E68)</f>
        <v>0</v>
      </c>
      <c r="AH68">
        <f>(+G68+I68+K68)</f>
        <v>0</v>
      </c>
      <c r="AI68">
        <f>(+C68+G68)</f>
        <v>0</v>
      </c>
      <c r="AJ68">
        <f>(+C68+I68+K68)</f>
        <v>0</v>
      </c>
      <c r="AK68">
        <f>(+K68)</f>
        <v>0</v>
      </c>
      <c r="AL68">
        <f>(+C68+E68+G68+K68)</f>
        <v>0</v>
      </c>
      <c r="AM68">
        <f>(+C68+G68+I68+K68)</f>
        <v>0</v>
      </c>
      <c r="AV68" t="s">
        <v>22</v>
      </c>
      <c r="AW68">
        <v>12</v>
      </c>
      <c r="AX68">
        <v>34</v>
      </c>
      <c r="AY68">
        <v>4</v>
      </c>
      <c r="AZ68">
        <v>38</v>
      </c>
      <c r="BA68">
        <v>19</v>
      </c>
      <c r="BB68">
        <v>35</v>
      </c>
      <c r="BC68">
        <v>38</v>
      </c>
      <c r="BD68" t="s">
        <v>22</v>
      </c>
    </row>
    <row r="69" spans="1:59" x14ac:dyDescent="0.25">
      <c r="A69" t="s">
        <v>311</v>
      </c>
      <c r="B69" t="s">
        <v>133</v>
      </c>
      <c r="C69">
        <v>0</v>
      </c>
      <c r="D69" t="s">
        <v>312</v>
      </c>
      <c r="E69">
        <v>0</v>
      </c>
      <c r="F69" t="s">
        <v>313</v>
      </c>
      <c r="G69">
        <v>0</v>
      </c>
      <c r="H69" t="s">
        <v>314</v>
      </c>
      <c r="I69">
        <v>0</v>
      </c>
      <c r="J69" t="s">
        <v>315</v>
      </c>
      <c r="K69">
        <v>0</v>
      </c>
      <c r="L69" t="s">
        <v>316</v>
      </c>
      <c r="M69">
        <v>0</v>
      </c>
      <c r="N69" t="s">
        <v>79</v>
      </c>
      <c r="O69">
        <v>0</v>
      </c>
      <c r="P69" t="s">
        <v>204</v>
      </c>
      <c r="Q69">
        <v>0</v>
      </c>
      <c r="AF69" t="s">
        <v>22</v>
      </c>
      <c r="AG69">
        <f>(+C69+G69+K69+M69+O69+Q69)</f>
        <v>0</v>
      </c>
      <c r="AH69">
        <f>(+C69+E69+I69+M69+Q69)</f>
        <v>0</v>
      </c>
      <c r="AI69">
        <f>(+C69+G69+I69+M69)</f>
        <v>0</v>
      </c>
      <c r="AJ69">
        <f>(+C69+O69+Q69)</f>
        <v>0</v>
      </c>
      <c r="AK69">
        <f>(+C69+E69+G69+M69+O69+Q69)</f>
        <v>0</v>
      </c>
      <c r="AL69">
        <f>(+E69+G69+K69+M69)</f>
        <v>0</v>
      </c>
      <c r="AM69">
        <f>(+C69+G69+I69+M69+O69)</f>
        <v>0</v>
      </c>
      <c r="AN69">
        <f>(+E69+G69+I69+M69)</f>
        <v>0</v>
      </c>
      <c r="AO69">
        <f>(+E69+G69+I69+K69+M69)</f>
        <v>0</v>
      </c>
      <c r="AP69">
        <f>(+E69+M69+O69)</f>
        <v>0</v>
      </c>
      <c r="AV69" t="s">
        <v>22</v>
      </c>
      <c r="AW69">
        <v>40</v>
      </c>
      <c r="AX69">
        <v>35</v>
      </c>
      <c r="AY69">
        <v>22</v>
      </c>
      <c r="AZ69">
        <v>21</v>
      </c>
      <c r="BA69">
        <v>28</v>
      </c>
      <c r="BB69">
        <v>22</v>
      </c>
      <c r="BC69">
        <v>26</v>
      </c>
      <c r="BD69">
        <v>19</v>
      </c>
      <c r="BE69">
        <v>34</v>
      </c>
      <c r="BF69">
        <v>10</v>
      </c>
      <c r="BG69" t="s">
        <v>22</v>
      </c>
    </row>
    <row r="70" spans="1:59" x14ac:dyDescent="0.25">
      <c r="A70" t="s">
        <v>317</v>
      </c>
      <c r="B70" t="s">
        <v>187</v>
      </c>
      <c r="C70">
        <v>0</v>
      </c>
      <c r="D70" t="s">
        <v>197</v>
      </c>
      <c r="E70">
        <v>0</v>
      </c>
      <c r="F70" t="s">
        <v>188</v>
      </c>
      <c r="G70">
        <v>0</v>
      </c>
      <c r="H70" t="s">
        <v>32</v>
      </c>
      <c r="I70">
        <v>0</v>
      </c>
      <c r="J70" t="s">
        <v>204</v>
      </c>
      <c r="K70">
        <v>0</v>
      </c>
      <c r="L70" t="s">
        <v>318</v>
      </c>
      <c r="M70">
        <v>0</v>
      </c>
      <c r="N70" t="s">
        <v>177</v>
      </c>
      <c r="O70">
        <v>0</v>
      </c>
      <c r="P70" t="s">
        <v>91</v>
      </c>
      <c r="Q70">
        <v>0</v>
      </c>
      <c r="R70" t="s">
        <v>176</v>
      </c>
      <c r="S70">
        <v>0</v>
      </c>
      <c r="T70" t="s">
        <v>86</v>
      </c>
      <c r="U70">
        <v>0</v>
      </c>
      <c r="AF70" t="s">
        <v>22</v>
      </c>
      <c r="AG70">
        <f>(+E70+I70+K70+O70+Q70+U70)</f>
        <v>0</v>
      </c>
      <c r="AH70">
        <f>(+K70+M70+O70+S70+U70)</f>
        <v>0</v>
      </c>
      <c r="AI70">
        <f>(+C70+E70+M70+S70+U70)</f>
        <v>0</v>
      </c>
      <c r="AJ70">
        <f>(+C70+E70+G70+K70+M70+O70+S70)</f>
        <v>0</v>
      </c>
      <c r="AK70">
        <f>(+C70+G70+K70+M70+O70+U70)</f>
        <v>0</v>
      </c>
      <c r="AL70">
        <f>(+C70+G70+O70+Q70+S70+U70)</f>
        <v>0</v>
      </c>
      <c r="AM70">
        <f>(+I70+O70+Q70+S70+U70)</f>
        <v>0</v>
      </c>
      <c r="AN70">
        <f>(+C70+E70+G70+M70+S70+U70)</f>
        <v>0</v>
      </c>
      <c r="AV70" t="s">
        <v>22</v>
      </c>
      <c r="AW70">
        <v>47</v>
      </c>
      <c r="AX70">
        <v>46</v>
      </c>
      <c r="AY70">
        <v>61</v>
      </c>
      <c r="AZ70">
        <v>74</v>
      </c>
      <c r="BA70">
        <v>63</v>
      </c>
      <c r="BB70">
        <v>63</v>
      </c>
      <c r="BC70">
        <v>39</v>
      </c>
      <c r="BD70">
        <v>67</v>
      </c>
      <c r="BE70" t="s">
        <v>22</v>
      </c>
    </row>
    <row r="71" spans="1:59" x14ac:dyDescent="0.25">
      <c r="A71" t="s">
        <v>319</v>
      </c>
      <c r="B71" t="s">
        <v>11</v>
      </c>
      <c r="C71">
        <v>0</v>
      </c>
      <c r="D71" t="s">
        <v>34</v>
      </c>
      <c r="E71">
        <v>0</v>
      </c>
      <c r="F71" t="s">
        <v>306</v>
      </c>
      <c r="G71">
        <v>0</v>
      </c>
      <c r="H71" t="s">
        <v>44</v>
      </c>
      <c r="I71">
        <v>0</v>
      </c>
      <c r="J71" t="s">
        <v>92</v>
      </c>
      <c r="K71">
        <v>0</v>
      </c>
      <c r="L71" t="s">
        <v>15</v>
      </c>
      <c r="M71">
        <v>0</v>
      </c>
      <c r="AF71" t="s">
        <v>22</v>
      </c>
      <c r="AG71">
        <f>(+C71+E71+G71+K71+M71)</f>
        <v>0</v>
      </c>
      <c r="AH71">
        <f>(+C71+K71+M71)</f>
        <v>0</v>
      </c>
      <c r="AI71">
        <f>(+E71+G71+M71)</f>
        <v>0</v>
      </c>
      <c r="AJ71">
        <f>(+E71+K71)</f>
        <v>0</v>
      </c>
      <c r="AK71">
        <f>(+E71+G71+I71)</f>
        <v>0</v>
      </c>
      <c r="AL71">
        <f>(+E71+G71+I71)</f>
        <v>0</v>
      </c>
      <c r="AM71">
        <f>(+G71+K71)</f>
        <v>0</v>
      </c>
      <c r="AV71" t="s">
        <v>22</v>
      </c>
      <c r="AW71">
        <v>246</v>
      </c>
      <c r="AX71">
        <v>210</v>
      </c>
      <c r="AY71">
        <v>50</v>
      </c>
      <c r="AZ71">
        <v>201</v>
      </c>
      <c r="BA71">
        <v>52</v>
      </c>
      <c r="BB71">
        <v>52</v>
      </c>
      <c r="BC71">
        <v>203</v>
      </c>
      <c r="BD71" t="s">
        <v>22</v>
      </c>
    </row>
    <row r="72" spans="1:59" x14ac:dyDescent="0.25">
      <c r="A72" t="s">
        <v>320</v>
      </c>
      <c r="B72" t="s">
        <v>321</v>
      </c>
      <c r="C72">
        <v>0</v>
      </c>
      <c r="D72" t="s">
        <v>48</v>
      </c>
      <c r="E72">
        <v>0</v>
      </c>
      <c r="F72" t="s">
        <v>322</v>
      </c>
      <c r="G72">
        <v>0</v>
      </c>
      <c r="H72" t="s">
        <v>323</v>
      </c>
      <c r="I72">
        <v>0</v>
      </c>
      <c r="J72" t="s">
        <v>10</v>
      </c>
      <c r="K72">
        <v>0</v>
      </c>
      <c r="L72" t="s">
        <v>179</v>
      </c>
      <c r="M72">
        <v>0</v>
      </c>
      <c r="N72" t="s">
        <v>324</v>
      </c>
      <c r="O72">
        <v>0</v>
      </c>
      <c r="P72" t="s">
        <v>325</v>
      </c>
      <c r="Q72">
        <v>0</v>
      </c>
      <c r="R72" t="s">
        <v>326</v>
      </c>
      <c r="S72">
        <v>0</v>
      </c>
      <c r="AF72" t="s">
        <v>22</v>
      </c>
      <c r="AG72">
        <f>(+C72+K72+M72+O72+Q72)</f>
        <v>0</v>
      </c>
      <c r="AH72">
        <f>(+C72+G72+M72+O72+Q72)</f>
        <v>0</v>
      </c>
      <c r="AI72">
        <f>(+K72+M72+O72)</f>
        <v>0</v>
      </c>
      <c r="AJ72">
        <f>(+E72+G72+M72+Q72+S72)</f>
        <v>0</v>
      </c>
      <c r="AK72">
        <f>(+C72+I72+Q72)</f>
        <v>0</v>
      </c>
      <c r="AL72">
        <f>(+C72+E72+M72+O72+Q72)</f>
        <v>0</v>
      </c>
      <c r="AM72">
        <f>(+I72+O72+Q72+S72)</f>
        <v>0</v>
      </c>
      <c r="AN72">
        <f>(+I72+M72)</f>
        <v>0</v>
      </c>
      <c r="AO72">
        <f>(+C72+G72+I72+O72+Q72+S72)</f>
        <v>0</v>
      </c>
      <c r="AV72" t="s">
        <v>22</v>
      </c>
      <c r="AW72">
        <v>33</v>
      </c>
      <c r="AX72">
        <v>48</v>
      </c>
      <c r="AY72">
        <v>16</v>
      </c>
      <c r="AZ72">
        <v>40</v>
      </c>
      <c r="BA72">
        <v>37</v>
      </c>
      <c r="BB72">
        <v>42</v>
      </c>
      <c r="BC72">
        <v>32</v>
      </c>
      <c r="BD72">
        <v>24</v>
      </c>
      <c r="BE72">
        <v>66</v>
      </c>
      <c r="BF72" t="s">
        <v>22</v>
      </c>
    </row>
    <row r="73" spans="1:59" x14ac:dyDescent="0.25">
      <c r="A73" t="s">
        <v>327</v>
      </c>
      <c r="B73" t="s">
        <v>328</v>
      </c>
      <c r="C73">
        <v>0</v>
      </c>
      <c r="D73" t="s">
        <v>81</v>
      </c>
      <c r="E73">
        <v>0</v>
      </c>
      <c r="F73" t="s">
        <v>329</v>
      </c>
      <c r="G73">
        <v>0</v>
      </c>
      <c r="H73" t="s">
        <v>330</v>
      </c>
      <c r="I73">
        <v>0</v>
      </c>
      <c r="J73" t="s">
        <v>176</v>
      </c>
      <c r="K73">
        <v>0</v>
      </c>
      <c r="L73" t="s">
        <v>331</v>
      </c>
      <c r="M73">
        <v>0</v>
      </c>
      <c r="N73" t="s">
        <v>332</v>
      </c>
      <c r="O73">
        <v>0</v>
      </c>
      <c r="P73" t="s">
        <v>285</v>
      </c>
      <c r="Q73">
        <v>0</v>
      </c>
      <c r="R73" t="s">
        <v>333</v>
      </c>
      <c r="S73">
        <v>0</v>
      </c>
      <c r="T73" t="s">
        <v>334</v>
      </c>
      <c r="U73">
        <v>0</v>
      </c>
      <c r="V73" t="s">
        <v>143</v>
      </c>
      <c r="W73">
        <v>0</v>
      </c>
      <c r="AF73" t="s">
        <v>22</v>
      </c>
      <c r="AG73">
        <f>(+E73+I73+M73+O73+S73+U73+W73)</f>
        <v>0</v>
      </c>
      <c r="AH73">
        <f>(+E73+K73+Q73+U73)</f>
        <v>0</v>
      </c>
      <c r="AI73">
        <f>(+E73+G73+K73+Q73+S73+W73)</f>
        <v>0</v>
      </c>
      <c r="AJ73">
        <f>(+E73+G73+K73+Q73+S73+U73+W73)</f>
        <v>0</v>
      </c>
      <c r="AK73">
        <f>(+E73+M73+Q73+W73)</f>
        <v>0</v>
      </c>
      <c r="AL73">
        <f>(+K73+M73+O73+Q73+U73)</f>
        <v>0</v>
      </c>
      <c r="AM73">
        <f>(+C73+K73+M73+Q73+W73)</f>
        <v>0</v>
      </c>
      <c r="AN73">
        <f>(+E73+G73+I73+K73+O73+Q73+U73+W73)</f>
        <v>0</v>
      </c>
      <c r="AO73">
        <f>(+I73+M73+S73+U73)</f>
        <v>0</v>
      </c>
      <c r="AV73" t="s">
        <v>22</v>
      </c>
      <c r="AW73">
        <v>74</v>
      </c>
      <c r="AX73">
        <v>56</v>
      </c>
      <c r="AY73">
        <v>77</v>
      </c>
      <c r="AZ73">
        <v>96</v>
      </c>
      <c r="BA73">
        <v>42</v>
      </c>
      <c r="BB73">
        <v>43</v>
      </c>
      <c r="BC73">
        <v>58</v>
      </c>
      <c r="BD73">
        <v>97</v>
      </c>
      <c r="BE73">
        <v>39</v>
      </c>
      <c r="BF73" t="s">
        <v>22</v>
      </c>
    </row>
    <row r="74" spans="1:59" x14ac:dyDescent="0.25">
      <c r="A74" t="s">
        <v>335</v>
      </c>
      <c r="B74" t="s">
        <v>40</v>
      </c>
      <c r="C74">
        <v>0</v>
      </c>
      <c r="D74" t="s">
        <v>118</v>
      </c>
      <c r="E74">
        <v>0</v>
      </c>
      <c r="F74" t="s">
        <v>202</v>
      </c>
      <c r="G74">
        <v>0</v>
      </c>
      <c r="H74" t="s">
        <v>15</v>
      </c>
      <c r="I74">
        <v>0</v>
      </c>
      <c r="J74" t="s">
        <v>169</v>
      </c>
      <c r="K74">
        <v>0</v>
      </c>
      <c r="AF74" t="s">
        <v>22</v>
      </c>
      <c r="AG74">
        <f>(+C74+I74)</f>
        <v>0</v>
      </c>
      <c r="AH74">
        <f>(+E74+G74+I74)</f>
        <v>0</v>
      </c>
      <c r="AI74">
        <f>(+C74+I74+K74)</f>
        <v>0</v>
      </c>
      <c r="AJ74">
        <f>(+C74+E74+K74)</f>
        <v>0</v>
      </c>
      <c r="AK74">
        <f>(+E74+G74+K74)</f>
        <v>0</v>
      </c>
      <c r="AV74" t="s">
        <v>22</v>
      </c>
      <c r="AW74">
        <v>18</v>
      </c>
      <c r="AX74">
        <v>43</v>
      </c>
      <c r="AY74">
        <v>25</v>
      </c>
      <c r="AZ74">
        <v>38</v>
      </c>
      <c r="BA74">
        <v>45</v>
      </c>
      <c r="BB74" t="s">
        <v>22</v>
      </c>
    </row>
    <row r="75" spans="1:59" x14ac:dyDescent="0.25">
      <c r="A75" t="s">
        <v>336</v>
      </c>
      <c r="B75" t="s">
        <v>8</v>
      </c>
      <c r="C75">
        <v>0</v>
      </c>
      <c r="D75" t="s">
        <v>40</v>
      </c>
      <c r="E75">
        <v>0</v>
      </c>
      <c r="F75" t="s">
        <v>15</v>
      </c>
      <c r="G75">
        <v>0</v>
      </c>
      <c r="H75" t="s">
        <v>7</v>
      </c>
      <c r="I75">
        <v>0</v>
      </c>
      <c r="J75" t="s">
        <v>21</v>
      </c>
      <c r="K75">
        <v>0</v>
      </c>
      <c r="AF75" t="s">
        <v>22</v>
      </c>
      <c r="AG75">
        <f>(+E75+G75)</f>
        <v>0</v>
      </c>
      <c r="AH75">
        <f>(+G75+I75+K75)</f>
        <v>0</v>
      </c>
      <c r="AI75">
        <f>(+C75+E75+G75+K75)</f>
        <v>0</v>
      </c>
      <c r="AJ75">
        <f>(+E75+I75)</f>
        <v>0</v>
      </c>
      <c r="AV75" t="s">
        <v>22</v>
      </c>
      <c r="AW75">
        <v>15</v>
      </c>
      <c r="AX75">
        <v>11</v>
      </c>
      <c r="AY75">
        <v>39</v>
      </c>
      <c r="AZ75">
        <v>12</v>
      </c>
      <c r="BA75" t="s">
        <v>22</v>
      </c>
    </row>
    <row r="76" spans="1:59" x14ac:dyDescent="0.25">
      <c r="A76" t="s">
        <v>337</v>
      </c>
      <c r="B76" t="s">
        <v>338</v>
      </c>
      <c r="C76">
        <v>0</v>
      </c>
      <c r="D76" t="s">
        <v>246</v>
      </c>
      <c r="E76">
        <v>0</v>
      </c>
      <c r="F76" t="s">
        <v>115</v>
      </c>
      <c r="G76">
        <v>0</v>
      </c>
      <c r="H76" t="s">
        <v>339</v>
      </c>
      <c r="I76">
        <v>0</v>
      </c>
      <c r="J76" t="s">
        <v>340</v>
      </c>
      <c r="K76">
        <v>0</v>
      </c>
      <c r="L76" t="s">
        <v>341</v>
      </c>
      <c r="M76">
        <v>0</v>
      </c>
      <c r="N76" t="s">
        <v>342</v>
      </c>
      <c r="O76">
        <v>0</v>
      </c>
      <c r="P76" t="s">
        <v>343</v>
      </c>
      <c r="Q76">
        <v>0</v>
      </c>
      <c r="R76" t="s">
        <v>154</v>
      </c>
      <c r="S76">
        <v>0</v>
      </c>
      <c r="T76" t="s">
        <v>344</v>
      </c>
      <c r="U76">
        <v>0</v>
      </c>
      <c r="V76" t="s">
        <v>345</v>
      </c>
      <c r="W76">
        <v>0</v>
      </c>
      <c r="AF76" t="s">
        <v>22</v>
      </c>
      <c r="AG76">
        <f>(+E76+M76+Q76+S76+W76)</f>
        <v>0</v>
      </c>
      <c r="AH76">
        <f>(+C76+G76+U76+W76)</f>
        <v>0</v>
      </c>
      <c r="AI76">
        <f>(+E76+M76+O76+S76)</f>
        <v>0</v>
      </c>
      <c r="AJ76">
        <f>(+C76+K76+O76+U76)</f>
        <v>0</v>
      </c>
      <c r="AK76">
        <f>(+C76+E76+K76+O76+Q76)</f>
        <v>0</v>
      </c>
      <c r="AL76">
        <f>(+C76+G76+I76+O76+Q76+U76)</f>
        <v>0</v>
      </c>
      <c r="AM76">
        <f>(+C76+E76+S76+U76)</f>
        <v>0</v>
      </c>
      <c r="AN76">
        <f>(+C76+I76+K76+Q76+S76+U76)</f>
        <v>0</v>
      </c>
      <c r="AO76">
        <f>(+C76+I76+K76+M76+O76+Q76+U76)</f>
        <v>0</v>
      </c>
      <c r="AP76">
        <f>(+C76+K76+O76+U76+W76)</f>
        <v>0</v>
      </c>
      <c r="AV76" t="s">
        <v>22</v>
      </c>
      <c r="AW76">
        <v>45</v>
      </c>
      <c r="AX76">
        <v>32</v>
      </c>
      <c r="AY76">
        <v>33</v>
      </c>
      <c r="AZ76">
        <v>31</v>
      </c>
      <c r="BA76">
        <v>37</v>
      </c>
      <c r="BB76">
        <v>58</v>
      </c>
      <c r="BC76">
        <v>22</v>
      </c>
      <c r="BD76">
        <v>66</v>
      </c>
      <c r="BE76">
        <v>73</v>
      </c>
      <c r="BF76">
        <v>38</v>
      </c>
      <c r="BG76" t="s">
        <v>22</v>
      </c>
    </row>
    <row r="77" spans="1:59" x14ac:dyDescent="0.25">
      <c r="A77" t="s">
        <v>346</v>
      </c>
      <c r="B77" t="s">
        <v>8</v>
      </c>
      <c r="C77">
        <v>0</v>
      </c>
      <c r="D77" t="s">
        <v>6</v>
      </c>
      <c r="E77">
        <v>0</v>
      </c>
      <c r="F77" t="s">
        <v>47</v>
      </c>
      <c r="G77">
        <v>0</v>
      </c>
      <c r="H77" t="s">
        <v>7</v>
      </c>
      <c r="I77">
        <v>0</v>
      </c>
      <c r="J77" t="s">
        <v>38</v>
      </c>
      <c r="K77">
        <v>0</v>
      </c>
      <c r="L77" t="s">
        <v>50</v>
      </c>
      <c r="M77">
        <v>0</v>
      </c>
      <c r="AF77" t="s">
        <v>22</v>
      </c>
      <c r="AG77">
        <f>(+G77)</f>
        <v>0</v>
      </c>
      <c r="AH77">
        <f>(+I77+K77+M77)</f>
        <v>0</v>
      </c>
      <c r="AI77">
        <f>(+C77+M77)</f>
        <v>0</v>
      </c>
      <c r="AJ77">
        <f>(+E77+G77+I77+M77)</f>
        <v>0</v>
      </c>
      <c r="AV77" t="s">
        <v>22</v>
      </c>
      <c r="AW77">
        <v>17</v>
      </c>
      <c r="AX77">
        <v>45</v>
      </c>
      <c r="AY77">
        <v>18</v>
      </c>
      <c r="AZ77">
        <v>46</v>
      </c>
      <c r="BA77" t="s">
        <v>22</v>
      </c>
    </row>
    <row r="78" spans="1:59" x14ac:dyDescent="0.25">
      <c r="A78" t="s">
        <v>347</v>
      </c>
      <c r="B78" t="s">
        <v>230</v>
      </c>
      <c r="C78">
        <v>0</v>
      </c>
      <c r="D78" t="s">
        <v>348</v>
      </c>
      <c r="E78">
        <v>0</v>
      </c>
      <c r="F78" t="s">
        <v>349</v>
      </c>
      <c r="G78">
        <v>0</v>
      </c>
      <c r="H78" t="s">
        <v>229</v>
      </c>
      <c r="I78">
        <v>0</v>
      </c>
      <c r="J78" t="s">
        <v>139</v>
      </c>
      <c r="K78">
        <v>0</v>
      </c>
      <c r="L78" t="s">
        <v>350</v>
      </c>
      <c r="M78">
        <v>0</v>
      </c>
      <c r="N78" t="s">
        <v>351</v>
      </c>
      <c r="O78">
        <v>0</v>
      </c>
      <c r="P78" t="s">
        <v>352</v>
      </c>
      <c r="Q78">
        <v>0</v>
      </c>
      <c r="R78" t="s">
        <v>353</v>
      </c>
      <c r="S78">
        <v>0</v>
      </c>
      <c r="T78" t="s">
        <v>354</v>
      </c>
      <c r="U78">
        <v>0</v>
      </c>
      <c r="AF78" t="s">
        <v>22</v>
      </c>
      <c r="AG78">
        <f>(+E78+S78)</f>
        <v>0</v>
      </c>
      <c r="AH78">
        <f>(+E78+I78+Q78+S78+U78)</f>
        <v>0</v>
      </c>
      <c r="AI78">
        <f>(+K78+M78+Q78+U78)</f>
        <v>0</v>
      </c>
      <c r="AJ78">
        <f>(+C78)</f>
        <v>0</v>
      </c>
      <c r="AK78">
        <f>(+E78+I78+M78+S78+U78)</f>
        <v>0</v>
      </c>
      <c r="AL78">
        <f>(+E78+G78+I78+M78+U78)</f>
        <v>0</v>
      </c>
      <c r="AM78">
        <f>(+C78+E78+K78+O78+U78)</f>
        <v>0</v>
      </c>
      <c r="AN78">
        <f>(+K78+O78+Q78+U78)</f>
        <v>0</v>
      </c>
      <c r="AO78">
        <f>(+G78+I78+M78+U78)</f>
        <v>0</v>
      </c>
      <c r="AP78">
        <f>(+S78+U78)</f>
        <v>0</v>
      </c>
      <c r="AV78" t="s">
        <v>22</v>
      </c>
      <c r="AW78">
        <v>37</v>
      </c>
      <c r="AX78">
        <v>88</v>
      </c>
      <c r="AY78">
        <v>60</v>
      </c>
      <c r="AZ78">
        <v>8</v>
      </c>
      <c r="BA78">
        <v>87</v>
      </c>
      <c r="BB78">
        <v>70</v>
      </c>
      <c r="BC78">
        <v>59</v>
      </c>
      <c r="BD78">
        <v>52</v>
      </c>
      <c r="BE78">
        <v>53</v>
      </c>
      <c r="BF78">
        <v>39</v>
      </c>
      <c r="BG78" t="s">
        <v>22</v>
      </c>
    </row>
    <row r="79" spans="1:59" x14ac:dyDescent="0.25">
      <c r="A79" t="s">
        <v>355</v>
      </c>
      <c r="B79" t="s">
        <v>154</v>
      </c>
      <c r="C79">
        <v>0</v>
      </c>
      <c r="D79" t="s">
        <v>356</v>
      </c>
      <c r="E79">
        <v>0</v>
      </c>
      <c r="F79" t="s">
        <v>233</v>
      </c>
      <c r="G79">
        <v>0</v>
      </c>
      <c r="H79" t="s">
        <v>357</v>
      </c>
      <c r="I79">
        <v>0</v>
      </c>
      <c r="J79" t="s">
        <v>131</v>
      </c>
      <c r="K79">
        <v>0</v>
      </c>
      <c r="L79" t="s">
        <v>24</v>
      </c>
      <c r="M79">
        <v>0</v>
      </c>
      <c r="N79" t="s">
        <v>358</v>
      </c>
      <c r="O79">
        <v>0</v>
      </c>
      <c r="P79" t="s">
        <v>359</v>
      </c>
      <c r="Q79">
        <v>0</v>
      </c>
      <c r="AF79" t="s">
        <v>22</v>
      </c>
      <c r="AG79">
        <f>(+C79+E79+G79+I79+Q79)</f>
        <v>0</v>
      </c>
      <c r="AH79">
        <f>(+G79+K79+O79+Q79)</f>
        <v>0</v>
      </c>
      <c r="AI79">
        <f>(+C79+E79+K79+M79+Q79)</f>
        <v>0</v>
      </c>
      <c r="AJ79">
        <f>(+E79+G79+I79+Q79)</f>
        <v>0</v>
      </c>
      <c r="AK79">
        <f>(+E79+G79+M79+Q79)</f>
        <v>0</v>
      </c>
      <c r="AL79">
        <f>(+E79+I79+K79+O79)</f>
        <v>0</v>
      </c>
      <c r="AM79">
        <f>(+C79+G79+I79+O79)</f>
        <v>0</v>
      </c>
      <c r="AN79">
        <f>(+C79+E79+G79+I79+O79+Q79)</f>
        <v>0</v>
      </c>
      <c r="AO79">
        <f>(+G79+Q79)</f>
        <v>0</v>
      </c>
      <c r="AV79" t="s">
        <v>22</v>
      </c>
      <c r="AW79">
        <v>50</v>
      </c>
      <c r="AX79">
        <v>29</v>
      </c>
      <c r="AY79">
        <v>28</v>
      </c>
      <c r="AZ79">
        <v>44</v>
      </c>
      <c r="BA79">
        <v>29</v>
      </c>
      <c r="BB79">
        <v>35</v>
      </c>
      <c r="BC79">
        <v>42</v>
      </c>
      <c r="BD79">
        <v>60</v>
      </c>
      <c r="BE79">
        <v>19</v>
      </c>
      <c r="BF79" t="s">
        <v>22</v>
      </c>
    </row>
    <row r="80" spans="1:59" x14ac:dyDescent="0.25">
      <c r="A80" t="s">
        <v>360</v>
      </c>
      <c r="B80" t="s">
        <v>175</v>
      </c>
      <c r="C80">
        <v>0</v>
      </c>
      <c r="D80" t="s">
        <v>361</v>
      </c>
      <c r="E80">
        <v>0</v>
      </c>
      <c r="F80" t="s">
        <v>332</v>
      </c>
      <c r="G80">
        <v>0</v>
      </c>
      <c r="H80" t="s">
        <v>362</v>
      </c>
      <c r="I80">
        <v>0</v>
      </c>
      <c r="J80" t="s">
        <v>55</v>
      </c>
      <c r="K80">
        <v>0</v>
      </c>
      <c r="L80" t="s">
        <v>182</v>
      </c>
      <c r="M80">
        <v>0</v>
      </c>
      <c r="N80" t="s">
        <v>363</v>
      </c>
      <c r="O80">
        <v>0</v>
      </c>
      <c r="P80" t="s">
        <v>104</v>
      </c>
      <c r="Q80">
        <v>0</v>
      </c>
      <c r="R80" t="s">
        <v>364</v>
      </c>
      <c r="S80">
        <v>0</v>
      </c>
      <c r="AF80" t="s">
        <v>22</v>
      </c>
      <c r="AG80">
        <f>(+C80+G80+I80+K80+M80+O80+Q80)</f>
        <v>0</v>
      </c>
      <c r="AH80">
        <f>(+C80+E80+I80+K80+O80+S80)</f>
        <v>0</v>
      </c>
      <c r="AI80">
        <f>(+C80+K80+M80)</f>
        <v>0</v>
      </c>
      <c r="AJ80">
        <f>(+E80+I80+K80+M80+S80)</f>
        <v>0</v>
      </c>
      <c r="AK80">
        <f>(+E80+M80+O80+Q80+S80)</f>
        <v>0</v>
      </c>
      <c r="AL80">
        <f>(+C80+G80+I80+K80+S80)</f>
        <v>0</v>
      </c>
      <c r="AM80">
        <f>(+E80+I80+K80+O80+Q80+S80)</f>
        <v>0</v>
      </c>
      <c r="AN80">
        <f>(+C80+E80+G80+I80+M80+O80+Q80+S80)</f>
        <v>0</v>
      </c>
      <c r="AV80" t="s">
        <v>22</v>
      </c>
      <c r="AW80">
        <v>76</v>
      </c>
      <c r="AX80">
        <v>64</v>
      </c>
      <c r="AY80">
        <v>54</v>
      </c>
      <c r="AZ80">
        <v>61</v>
      </c>
      <c r="BA80">
        <v>59</v>
      </c>
      <c r="BB80">
        <v>59</v>
      </c>
      <c r="BC80">
        <v>60</v>
      </c>
      <c r="BD80">
        <v>85</v>
      </c>
      <c r="BE80" t="s">
        <v>22</v>
      </c>
    </row>
    <row r="81" spans="1:59" x14ac:dyDescent="0.25">
      <c r="A81" t="s">
        <v>365</v>
      </c>
      <c r="B81" t="s">
        <v>47</v>
      </c>
      <c r="C81">
        <v>0</v>
      </c>
      <c r="D81" t="s">
        <v>6</v>
      </c>
      <c r="E81">
        <v>0</v>
      </c>
      <c r="F81" t="s">
        <v>24</v>
      </c>
      <c r="G81">
        <v>0</v>
      </c>
      <c r="H81" t="s">
        <v>193</v>
      </c>
      <c r="I81">
        <v>0</v>
      </c>
      <c r="J81" t="s">
        <v>366</v>
      </c>
      <c r="K81">
        <v>0</v>
      </c>
      <c r="L81" t="s">
        <v>56</v>
      </c>
      <c r="M81">
        <v>0</v>
      </c>
      <c r="N81" t="s">
        <v>119</v>
      </c>
      <c r="O81">
        <v>0</v>
      </c>
      <c r="AF81" t="s">
        <v>22</v>
      </c>
      <c r="AG81">
        <f>(+C81+I81+K81)</f>
        <v>0</v>
      </c>
      <c r="AH81">
        <f>(+I81)</f>
        <v>0</v>
      </c>
      <c r="AI81">
        <f>(+G81+M81)</f>
        <v>0</v>
      </c>
      <c r="AJ81">
        <f>(+C81+E81+I81+K81+O81)</f>
        <v>0</v>
      </c>
      <c r="AK81">
        <f>(+G81+I81+K81+O81)</f>
        <v>0</v>
      </c>
      <c r="AL81">
        <f>(+I81+K81+M81+O81)</f>
        <v>0</v>
      </c>
      <c r="AV81" t="s">
        <v>22</v>
      </c>
      <c r="AW81">
        <v>51</v>
      </c>
      <c r="AX81">
        <v>20</v>
      </c>
      <c r="AY81">
        <v>17</v>
      </c>
      <c r="AZ81">
        <v>77</v>
      </c>
      <c r="BA81">
        <v>56</v>
      </c>
      <c r="BB81">
        <v>49</v>
      </c>
      <c r="BC81" t="s">
        <v>22</v>
      </c>
    </row>
    <row r="82" spans="1:59" x14ac:dyDescent="0.25">
      <c r="A82" t="s">
        <v>367</v>
      </c>
      <c r="B82" t="s">
        <v>40</v>
      </c>
      <c r="C82">
        <v>0</v>
      </c>
      <c r="D82" t="s">
        <v>50</v>
      </c>
      <c r="E82">
        <v>0</v>
      </c>
      <c r="AF82" t="s">
        <v>22</v>
      </c>
      <c r="AG82">
        <f>(+C82)</f>
        <v>0</v>
      </c>
      <c r="AH82">
        <f>(+E82)</f>
        <v>0</v>
      </c>
      <c r="AI82">
        <f>(+C82+E82)</f>
        <v>0</v>
      </c>
      <c r="AJ82">
        <f>(+C82+E82)</f>
        <v>0</v>
      </c>
      <c r="AV82" t="s">
        <v>22</v>
      </c>
      <c r="AW82">
        <v>5</v>
      </c>
      <c r="AX82">
        <v>9</v>
      </c>
      <c r="AY82">
        <v>14</v>
      </c>
      <c r="AZ82">
        <v>14</v>
      </c>
      <c r="BA82" t="s">
        <v>22</v>
      </c>
    </row>
    <row r="83" spans="1:59" x14ac:dyDescent="0.25">
      <c r="A83" t="s">
        <v>368</v>
      </c>
      <c r="B83" t="s">
        <v>106</v>
      </c>
      <c r="C83">
        <v>0</v>
      </c>
      <c r="D83" t="s">
        <v>50</v>
      </c>
      <c r="E83">
        <v>0</v>
      </c>
      <c r="F83" t="s">
        <v>19</v>
      </c>
      <c r="G83">
        <v>0</v>
      </c>
      <c r="H83" t="s">
        <v>13</v>
      </c>
      <c r="I83">
        <v>0</v>
      </c>
      <c r="AF83" t="s">
        <v>22</v>
      </c>
      <c r="AG83">
        <f>(+C83+G83+I83)</f>
        <v>0</v>
      </c>
      <c r="AH83">
        <f>(+E83)</f>
        <v>0</v>
      </c>
      <c r="AI83">
        <f>(+C83+E83+I83)</f>
        <v>0</v>
      </c>
      <c r="AJ83">
        <f>(+E83+G83+I83)</f>
        <v>0</v>
      </c>
      <c r="AK83">
        <f>(+C83+G83+I83)</f>
        <v>0</v>
      </c>
      <c r="AV83" t="s">
        <v>22</v>
      </c>
      <c r="AW83">
        <v>26</v>
      </c>
      <c r="AX83">
        <v>11</v>
      </c>
      <c r="AY83">
        <v>34</v>
      </c>
      <c r="AZ83">
        <v>28</v>
      </c>
      <c r="BA83">
        <v>26</v>
      </c>
      <c r="BB83" t="s">
        <v>22</v>
      </c>
    </row>
    <row r="84" spans="1:59" x14ac:dyDescent="0.25">
      <c r="A84" t="s">
        <v>369</v>
      </c>
      <c r="B84" t="s">
        <v>202</v>
      </c>
      <c r="C84">
        <v>0</v>
      </c>
      <c r="D84" t="s">
        <v>370</v>
      </c>
      <c r="E84">
        <v>0</v>
      </c>
      <c r="F84" t="s">
        <v>371</v>
      </c>
      <c r="G84">
        <v>0</v>
      </c>
      <c r="H84" t="s">
        <v>372</v>
      </c>
      <c r="I84">
        <v>0</v>
      </c>
      <c r="J84" t="s">
        <v>293</v>
      </c>
      <c r="K84">
        <v>0</v>
      </c>
      <c r="L84" t="s">
        <v>27</v>
      </c>
      <c r="M84">
        <v>0</v>
      </c>
      <c r="N84" t="s">
        <v>24</v>
      </c>
      <c r="O84">
        <v>0</v>
      </c>
      <c r="P84" t="s">
        <v>373</v>
      </c>
      <c r="Q84">
        <v>0</v>
      </c>
      <c r="R84" t="s">
        <v>374</v>
      </c>
      <c r="S84">
        <v>0</v>
      </c>
      <c r="AF84" t="s">
        <v>22</v>
      </c>
      <c r="AG84">
        <f>(+E84+M84+S84)</f>
        <v>0</v>
      </c>
      <c r="AH84">
        <f>(+C84+E84+G84+K84+M84+Q84+S84)</f>
        <v>0</v>
      </c>
      <c r="AI84">
        <f>(+E84+G84+M84+O84+S84)</f>
        <v>0</v>
      </c>
      <c r="AJ84">
        <f>(+G84+I84+K84+M84+Q84+S84)</f>
        <v>0</v>
      </c>
      <c r="AK84">
        <f>(+C84+G84+K84+O84+Q84)</f>
        <v>0</v>
      </c>
      <c r="AL84">
        <f>(+E84+G84+K84+S84)</f>
        <v>0</v>
      </c>
      <c r="AM84">
        <f>(+E84+G84+I84+K84+Q84)</f>
        <v>0</v>
      </c>
      <c r="AN84">
        <f>(+E84+G84+I84)</f>
        <v>0</v>
      </c>
      <c r="AO84">
        <f>(+G84+I84+K84+Q84+S84)</f>
        <v>0</v>
      </c>
      <c r="AP84">
        <f>(+E84+G84)</f>
        <v>0</v>
      </c>
      <c r="AV84" t="s">
        <v>22</v>
      </c>
      <c r="AW84">
        <v>170</v>
      </c>
      <c r="AX84">
        <v>218</v>
      </c>
      <c r="AY84">
        <v>189</v>
      </c>
      <c r="AZ84">
        <v>63</v>
      </c>
      <c r="BA84">
        <v>63</v>
      </c>
      <c r="BB84">
        <v>178</v>
      </c>
      <c r="BC84">
        <v>191</v>
      </c>
      <c r="BD84">
        <v>164</v>
      </c>
      <c r="BE84">
        <v>47</v>
      </c>
      <c r="BF84">
        <v>153</v>
      </c>
      <c r="BG84" t="s">
        <v>22</v>
      </c>
    </row>
    <row r="85" spans="1:59" x14ac:dyDescent="0.25">
      <c r="A85" t="s">
        <v>375</v>
      </c>
      <c r="B85" t="s">
        <v>118</v>
      </c>
      <c r="C85">
        <v>0</v>
      </c>
      <c r="D85" t="s">
        <v>262</v>
      </c>
      <c r="E85">
        <v>0</v>
      </c>
      <c r="F85" t="s">
        <v>376</v>
      </c>
      <c r="G85">
        <v>0</v>
      </c>
      <c r="H85" t="s">
        <v>209</v>
      </c>
      <c r="I85">
        <v>0</v>
      </c>
      <c r="J85" t="s">
        <v>115</v>
      </c>
      <c r="K85">
        <v>0</v>
      </c>
      <c r="L85" t="s">
        <v>68</v>
      </c>
      <c r="M85">
        <v>0</v>
      </c>
      <c r="N85" t="s">
        <v>300</v>
      </c>
      <c r="O85">
        <v>0</v>
      </c>
      <c r="P85" t="s">
        <v>377</v>
      </c>
      <c r="Q85">
        <v>0</v>
      </c>
      <c r="R85" t="s">
        <v>378</v>
      </c>
      <c r="S85">
        <v>0</v>
      </c>
      <c r="AF85" t="s">
        <v>22</v>
      </c>
      <c r="AG85">
        <f>(+I85+M85+O85+Q85)</f>
        <v>0</v>
      </c>
      <c r="AH85">
        <f>(+C85+I85+K85+Q85)</f>
        <v>0</v>
      </c>
      <c r="AI85">
        <f>(+E85+G85+I85+O85)</f>
        <v>0</v>
      </c>
      <c r="AJ85">
        <f>(+C85+I85+M85)</f>
        <v>0</v>
      </c>
      <c r="AK85">
        <f>(+C85+G85+I85+O85+Q85)</f>
        <v>0</v>
      </c>
      <c r="AL85">
        <f>(+G85+K85+O85)</f>
        <v>0</v>
      </c>
      <c r="AM85">
        <f>(+G85+I85+O85+Q85)</f>
        <v>0</v>
      </c>
      <c r="AN85">
        <f>(+E85+G85+M85+O85+S85)</f>
        <v>0</v>
      </c>
      <c r="AO85">
        <f>(+I85+Q85+S85)</f>
        <v>0</v>
      </c>
      <c r="AV85" t="s">
        <v>22</v>
      </c>
      <c r="AW85">
        <v>25</v>
      </c>
      <c r="AX85">
        <v>38</v>
      </c>
      <c r="AY85">
        <v>14</v>
      </c>
      <c r="AZ85">
        <v>41</v>
      </c>
      <c r="BA85">
        <v>29</v>
      </c>
      <c r="BB85">
        <v>17</v>
      </c>
      <c r="BC85">
        <v>12</v>
      </c>
      <c r="BD85">
        <v>39</v>
      </c>
      <c r="BE85">
        <v>25</v>
      </c>
      <c r="BF85" t="s">
        <v>22</v>
      </c>
    </row>
    <row r="86" spans="1:59" x14ac:dyDescent="0.25">
      <c r="A86" t="s">
        <v>379</v>
      </c>
      <c r="B86" t="s">
        <v>137</v>
      </c>
      <c r="C86">
        <v>0</v>
      </c>
      <c r="D86" t="s">
        <v>30</v>
      </c>
      <c r="E86">
        <v>0</v>
      </c>
      <c r="F86" t="s">
        <v>166</v>
      </c>
      <c r="G86">
        <v>0</v>
      </c>
      <c r="H86" t="s">
        <v>380</v>
      </c>
      <c r="I86">
        <v>0</v>
      </c>
      <c r="J86" t="s">
        <v>115</v>
      </c>
      <c r="K86">
        <v>0</v>
      </c>
      <c r="L86" t="s">
        <v>7</v>
      </c>
      <c r="M86">
        <v>0</v>
      </c>
      <c r="AF86" t="s">
        <v>22</v>
      </c>
      <c r="AG86">
        <f>(+C86+E86)</f>
        <v>0</v>
      </c>
      <c r="AH86">
        <f>(+C86+E86+G86+I86+K86+M86)</f>
        <v>0</v>
      </c>
      <c r="AI86">
        <f>(+C86+E86+G86+I86)</f>
        <v>0</v>
      </c>
      <c r="AJ86">
        <f>(+C86+G86+I86+M86)</f>
        <v>0</v>
      </c>
      <c r="AK86">
        <f>(+C86+E86+I86)</f>
        <v>0</v>
      </c>
      <c r="AL86">
        <f>(+C86+I86+K86)</f>
        <v>0</v>
      </c>
      <c r="AM86">
        <f>(+C86+E86+G86+I86)</f>
        <v>0</v>
      </c>
      <c r="AV86" t="s">
        <v>22</v>
      </c>
      <c r="AW86">
        <v>12</v>
      </c>
      <c r="AX86">
        <v>177</v>
      </c>
      <c r="AY86">
        <v>158</v>
      </c>
      <c r="AZ86">
        <v>166</v>
      </c>
      <c r="BA86">
        <v>12</v>
      </c>
      <c r="BB86">
        <v>19</v>
      </c>
      <c r="BC86">
        <v>158</v>
      </c>
      <c r="BD86" t="s">
        <v>22</v>
      </c>
    </row>
    <row r="87" spans="1:59" x14ac:dyDescent="0.25">
      <c r="A87" t="s">
        <v>381</v>
      </c>
      <c r="B87" t="s">
        <v>343</v>
      </c>
      <c r="C87">
        <v>0</v>
      </c>
      <c r="D87" t="s">
        <v>364</v>
      </c>
      <c r="E87">
        <v>0</v>
      </c>
      <c r="F87" t="s">
        <v>223</v>
      </c>
      <c r="G87">
        <v>0</v>
      </c>
      <c r="H87" t="s">
        <v>173</v>
      </c>
      <c r="I87">
        <v>0</v>
      </c>
      <c r="J87" t="s">
        <v>230</v>
      </c>
      <c r="K87">
        <v>0</v>
      </c>
      <c r="L87" t="s">
        <v>359</v>
      </c>
      <c r="M87">
        <v>0</v>
      </c>
      <c r="N87" t="s">
        <v>322</v>
      </c>
      <c r="O87">
        <v>0</v>
      </c>
      <c r="P87" t="s">
        <v>272</v>
      </c>
      <c r="Q87">
        <v>0</v>
      </c>
      <c r="AF87" t="s">
        <v>22</v>
      </c>
      <c r="AG87">
        <f>(+C87+G87+M87+Q87)</f>
        <v>0</v>
      </c>
      <c r="AH87">
        <f>(+E87+M87+O87)</f>
        <v>0</v>
      </c>
      <c r="AI87">
        <f>(+M87)</f>
        <v>0</v>
      </c>
      <c r="AJ87">
        <f>(+E87+G87+K87+M87+O87)</f>
        <v>0</v>
      </c>
      <c r="AK87">
        <f>(+C87+E87+M87)</f>
        <v>0</v>
      </c>
      <c r="AL87">
        <f>(+C87+E87+G87+I87)</f>
        <v>0</v>
      </c>
      <c r="AM87">
        <f>(+E87+K87)</f>
        <v>0</v>
      </c>
      <c r="AN87">
        <f>(+C87+E87+I87+M87)</f>
        <v>0</v>
      </c>
      <c r="AO87">
        <f>(+C87+G87+M87+O87+Q87)</f>
        <v>0</v>
      </c>
      <c r="AV87" t="s">
        <v>22</v>
      </c>
      <c r="AW87">
        <v>38</v>
      </c>
      <c r="AX87">
        <v>21</v>
      </c>
      <c r="AY87">
        <v>12</v>
      </c>
      <c r="AZ87">
        <v>42</v>
      </c>
      <c r="BA87">
        <v>26</v>
      </c>
      <c r="BB87">
        <v>32</v>
      </c>
      <c r="BC87">
        <v>14</v>
      </c>
      <c r="BD87">
        <v>33</v>
      </c>
      <c r="BE87">
        <v>43</v>
      </c>
      <c r="BF87" t="s">
        <v>22</v>
      </c>
    </row>
    <row r="88" spans="1:59" x14ac:dyDescent="0.25">
      <c r="A88" t="s">
        <v>382</v>
      </c>
      <c r="B88" t="s">
        <v>383</v>
      </c>
      <c r="C88">
        <v>0</v>
      </c>
      <c r="D88" t="s">
        <v>384</v>
      </c>
      <c r="E88">
        <v>0</v>
      </c>
      <c r="F88" t="s">
        <v>385</v>
      </c>
      <c r="G88">
        <v>0</v>
      </c>
      <c r="H88" t="s">
        <v>232</v>
      </c>
      <c r="I88">
        <v>0</v>
      </c>
      <c r="J88" t="s">
        <v>386</v>
      </c>
      <c r="K88">
        <v>0</v>
      </c>
      <c r="L88" t="s">
        <v>387</v>
      </c>
      <c r="M88">
        <v>0</v>
      </c>
      <c r="N88" t="s">
        <v>388</v>
      </c>
      <c r="O88">
        <v>0</v>
      </c>
      <c r="P88" t="s">
        <v>52</v>
      </c>
      <c r="Q88">
        <v>0</v>
      </c>
      <c r="R88" t="s">
        <v>389</v>
      </c>
      <c r="S88">
        <v>0</v>
      </c>
      <c r="T88" t="s">
        <v>390</v>
      </c>
      <c r="U88">
        <v>0</v>
      </c>
      <c r="V88" t="s">
        <v>391</v>
      </c>
      <c r="W88">
        <v>0</v>
      </c>
      <c r="X88" t="s">
        <v>9</v>
      </c>
      <c r="Y88">
        <v>0</v>
      </c>
      <c r="Z88" t="s">
        <v>392</v>
      </c>
      <c r="AA88">
        <v>0</v>
      </c>
      <c r="AF88" t="s">
        <v>22</v>
      </c>
      <c r="AG88">
        <f>(+C88+E88+M88+S88+U88+W88+AA88)</f>
        <v>0</v>
      </c>
      <c r="AH88">
        <f>(+E88+G88+M88+O88+S88+AA88)</f>
        <v>0</v>
      </c>
      <c r="AI88">
        <f>(+I88+S88+U88+Y88)</f>
        <v>0</v>
      </c>
      <c r="AJ88">
        <f>(+G88+Y88+AA88)</f>
        <v>0</v>
      </c>
      <c r="AK88">
        <f>(+E88+I88+Q88+S88+W88+AA88)</f>
        <v>0</v>
      </c>
      <c r="AL88">
        <f>(+E88+K88+M88+O88+S88+U88+W88)</f>
        <v>0</v>
      </c>
      <c r="AM88">
        <f>(+E88+I88+K88+M88+O88+S88+U88+W88)</f>
        <v>0</v>
      </c>
      <c r="AN88">
        <f>(+C88+E88+G88+K88+O88+U88+W88+AA88)</f>
        <v>0</v>
      </c>
      <c r="AO88">
        <f>(+E88+G88+M88+O88+S88+U88+W88+AA88)</f>
        <v>0</v>
      </c>
      <c r="AP88">
        <f>(+G88+K88+M88+S88+U88+W88+AA88)</f>
        <v>0</v>
      </c>
      <c r="AV88" t="s">
        <v>22</v>
      </c>
      <c r="AW88">
        <v>28</v>
      </c>
      <c r="AX88">
        <v>53</v>
      </c>
      <c r="AY88">
        <v>26</v>
      </c>
      <c r="AZ88">
        <v>19</v>
      </c>
      <c r="BA88">
        <v>48</v>
      </c>
      <c r="BB88">
        <v>53</v>
      </c>
      <c r="BC88">
        <v>72</v>
      </c>
      <c r="BD88">
        <v>63</v>
      </c>
      <c r="BE88">
        <v>58</v>
      </c>
      <c r="BF88">
        <v>41</v>
      </c>
      <c r="BG88" t="s">
        <v>22</v>
      </c>
    </row>
    <row r="89" spans="1:59" x14ac:dyDescent="0.25">
      <c r="A89" t="s">
        <v>393</v>
      </c>
      <c r="B89" t="s">
        <v>38</v>
      </c>
      <c r="C89">
        <v>0</v>
      </c>
      <c r="D89" t="s">
        <v>50</v>
      </c>
      <c r="E89">
        <v>0</v>
      </c>
      <c r="F89" t="s">
        <v>9</v>
      </c>
      <c r="G89">
        <v>0</v>
      </c>
      <c r="H89" t="s">
        <v>39</v>
      </c>
      <c r="I89">
        <v>0</v>
      </c>
      <c r="J89" t="s">
        <v>7</v>
      </c>
      <c r="K89">
        <v>0</v>
      </c>
      <c r="AF89" t="s">
        <v>22</v>
      </c>
      <c r="AG89">
        <f>(+I89)</f>
        <v>0</v>
      </c>
      <c r="AH89">
        <f>(+C89+E89+I89+K89)</f>
        <v>0</v>
      </c>
      <c r="AI89">
        <f>(+E89+G89)</f>
        <v>0</v>
      </c>
      <c r="AJ89">
        <f>(+E89+G89+I89+K89)</f>
        <v>0</v>
      </c>
      <c r="AV89" t="s">
        <v>22</v>
      </c>
      <c r="AW89">
        <v>0</v>
      </c>
      <c r="AX89">
        <v>32</v>
      </c>
      <c r="AY89">
        <v>29</v>
      </c>
      <c r="AZ89">
        <v>49</v>
      </c>
      <c r="BA89" t="s">
        <v>22</v>
      </c>
    </row>
    <row r="90" spans="1:59" x14ac:dyDescent="0.25">
      <c r="A90" t="s">
        <v>394</v>
      </c>
      <c r="B90" t="s">
        <v>40</v>
      </c>
      <c r="C90">
        <v>0</v>
      </c>
      <c r="D90" t="s">
        <v>6</v>
      </c>
      <c r="E90">
        <v>0</v>
      </c>
      <c r="F90" t="s">
        <v>43</v>
      </c>
      <c r="G90">
        <v>0</v>
      </c>
      <c r="H90" t="s">
        <v>171</v>
      </c>
      <c r="I90">
        <v>0</v>
      </c>
      <c r="J90" t="s">
        <v>46</v>
      </c>
      <c r="K90">
        <v>0</v>
      </c>
      <c r="L90" t="s">
        <v>24</v>
      </c>
      <c r="M90">
        <v>0</v>
      </c>
      <c r="N90" t="s">
        <v>290</v>
      </c>
      <c r="O90">
        <v>0</v>
      </c>
      <c r="AF90" t="s">
        <v>22</v>
      </c>
      <c r="AG90">
        <f>(+C90+I90+K90)</f>
        <v>0</v>
      </c>
      <c r="AH90">
        <f>(+I90+K90+O90)</f>
        <v>0</v>
      </c>
      <c r="AI90">
        <f>(+C90+G90+I90+M90)</f>
        <v>0</v>
      </c>
      <c r="AJ90">
        <f>(+C90+E90)</f>
        <v>0</v>
      </c>
      <c r="AK90">
        <f>(+G90+M90+O90)</f>
        <v>0</v>
      </c>
      <c r="AL90">
        <f>(+G90+I90+K90+O90)</f>
        <v>0</v>
      </c>
      <c r="AV90" t="s">
        <v>22</v>
      </c>
      <c r="AW90">
        <v>25</v>
      </c>
      <c r="AX90">
        <v>25</v>
      </c>
      <c r="AY90">
        <v>35</v>
      </c>
      <c r="AZ90">
        <v>17</v>
      </c>
      <c r="BA90">
        <v>19</v>
      </c>
      <c r="BB90">
        <v>44</v>
      </c>
      <c r="BC90" t="s">
        <v>22</v>
      </c>
    </row>
    <row r="91" spans="1:59" x14ac:dyDescent="0.25">
      <c r="A91" t="s">
        <v>395</v>
      </c>
      <c r="B91" t="s">
        <v>11</v>
      </c>
      <c r="C91">
        <v>0</v>
      </c>
      <c r="D91" t="s">
        <v>10</v>
      </c>
      <c r="E91">
        <v>0</v>
      </c>
      <c r="F91" t="s">
        <v>15</v>
      </c>
      <c r="G91">
        <v>0</v>
      </c>
      <c r="H91" t="s">
        <v>7</v>
      </c>
      <c r="I91">
        <v>0</v>
      </c>
      <c r="AF91" t="s">
        <v>22</v>
      </c>
      <c r="AG91">
        <f>(+C91+E91+G91)</f>
        <v>0</v>
      </c>
      <c r="AH91">
        <f>(+C91+G91+I91)</f>
        <v>0</v>
      </c>
      <c r="AI91">
        <f>(+E91+G91)</f>
        <v>0</v>
      </c>
      <c r="AJ91">
        <f>(+I91)</f>
        <v>0</v>
      </c>
      <c r="AV91" t="s">
        <v>22</v>
      </c>
      <c r="AW91">
        <v>37</v>
      </c>
      <c r="AX91">
        <v>28</v>
      </c>
      <c r="AY91">
        <v>33</v>
      </c>
      <c r="AZ91">
        <v>7</v>
      </c>
      <c r="BA91" t="s">
        <v>22</v>
      </c>
    </row>
    <row r="92" spans="1:59" x14ac:dyDescent="0.25">
      <c r="A92" t="s">
        <v>396</v>
      </c>
      <c r="B92" t="s">
        <v>27</v>
      </c>
      <c r="C92">
        <v>0</v>
      </c>
      <c r="D92" t="s">
        <v>278</v>
      </c>
      <c r="E92">
        <v>0</v>
      </c>
      <c r="F92" t="s">
        <v>348</v>
      </c>
      <c r="G92">
        <v>0</v>
      </c>
      <c r="H92" t="s">
        <v>33</v>
      </c>
      <c r="I92">
        <v>0</v>
      </c>
      <c r="J92" t="s">
        <v>114</v>
      </c>
      <c r="K92">
        <v>0</v>
      </c>
      <c r="L92" t="s">
        <v>232</v>
      </c>
      <c r="M92">
        <v>0</v>
      </c>
      <c r="N92" t="s">
        <v>16</v>
      </c>
      <c r="O92">
        <v>0</v>
      </c>
      <c r="P92" t="s">
        <v>55</v>
      </c>
      <c r="Q92">
        <v>0</v>
      </c>
      <c r="R92" t="s">
        <v>116</v>
      </c>
      <c r="S92">
        <v>0</v>
      </c>
      <c r="AF92" t="s">
        <v>22</v>
      </c>
      <c r="AG92">
        <f>(+C92+G92+I92+K92+Q92)</f>
        <v>0</v>
      </c>
      <c r="AH92">
        <f>(+C92+G92+K92+O92+Q92+S92)</f>
        <v>0</v>
      </c>
      <c r="AI92">
        <f>(+C92+I92+K92+M92+O92+Q92+S92)</f>
        <v>0</v>
      </c>
      <c r="AJ92">
        <f>(+C92+I92+K92+O92+Q92+S92)</f>
        <v>0</v>
      </c>
      <c r="AK92">
        <f>(+E92+G92+I92+M92+O92+S92)</f>
        <v>0</v>
      </c>
      <c r="AL92">
        <f>(+G92+I92+K92+Q92+S92)</f>
        <v>0</v>
      </c>
      <c r="AM92">
        <f>(+E92+G92+I92+M92+Q92)</f>
        <v>0</v>
      </c>
      <c r="AV92" t="s">
        <v>22</v>
      </c>
      <c r="AW92">
        <v>39</v>
      </c>
      <c r="AX92">
        <v>61</v>
      </c>
      <c r="AY92">
        <v>60</v>
      </c>
      <c r="AZ92">
        <v>55</v>
      </c>
      <c r="BA92">
        <v>45</v>
      </c>
      <c r="BB92">
        <v>43</v>
      </c>
      <c r="BC92">
        <v>35</v>
      </c>
      <c r="BD92" t="s">
        <v>22</v>
      </c>
    </row>
    <row r="93" spans="1:59" x14ac:dyDescent="0.25">
      <c r="A93" t="s">
        <v>397</v>
      </c>
      <c r="B93" t="s">
        <v>398</v>
      </c>
      <c r="C93">
        <v>0</v>
      </c>
      <c r="D93" t="s">
        <v>399</v>
      </c>
      <c r="E93">
        <v>0</v>
      </c>
      <c r="F93" t="s">
        <v>400</v>
      </c>
      <c r="G93">
        <v>0</v>
      </c>
      <c r="H93" t="s">
        <v>401</v>
      </c>
      <c r="I93">
        <v>0</v>
      </c>
      <c r="J93" t="s">
        <v>349</v>
      </c>
      <c r="K93">
        <v>0</v>
      </c>
      <c r="L93" t="s">
        <v>402</v>
      </c>
      <c r="M93">
        <v>0</v>
      </c>
      <c r="N93" t="s">
        <v>403</v>
      </c>
      <c r="O93">
        <v>0</v>
      </c>
      <c r="P93" t="s">
        <v>404</v>
      </c>
      <c r="Q93">
        <v>0</v>
      </c>
      <c r="R93" t="s">
        <v>405</v>
      </c>
      <c r="S93">
        <v>0</v>
      </c>
      <c r="T93" t="s">
        <v>406</v>
      </c>
      <c r="U93">
        <v>0</v>
      </c>
      <c r="V93" t="s">
        <v>407</v>
      </c>
      <c r="W93">
        <v>0</v>
      </c>
      <c r="X93" t="s">
        <v>408</v>
      </c>
      <c r="Y93">
        <v>0</v>
      </c>
      <c r="AF93" t="s">
        <v>22</v>
      </c>
      <c r="AG93">
        <f>(+C93+I93+U93)</f>
        <v>0</v>
      </c>
      <c r="AH93">
        <f>(+E93+G93+I93+M93+U93+W93+Y93)</f>
        <v>0</v>
      </c>
      <c r="AI93">
        <f>(+E93+G93+I93+U93)</f>
        <v>0</v>
      </c>
      <c r="AJ93">
        <f>(+Q93+W93)</f>
        <v>0</v>
      </c>
      <c r="AK93">
        <f>(+G93+I93+M93+Q93+U93+W93+Y93)</f>
        <v>0</v>
      </c>
      <c r="AL93">
        <f>(+K93+M93+S93+U93+Y93)</f>
        <v>0</v>
      </c>
      <c r="AM93">
        <f>(+C93+E93+G93+I93+Q93+W93)</f>
        <v>0</v>
      </c>
      <c r="AN93">
        <f>(+G93+O93+U93+Y93)</f>
        <v>0</v>
      </c>
      <c r="AO93">
        <f>(+G93+I93+K93+S93+U93)</f>
        <v>0</v>
      </c>
      <c r="AP93">
        <f>(+C93+E93+G93+I93+M93+O93+S93+W93+Y93)</f>
        <v>0</v>
      </c>
      <c r="AV93" t="s">
        <v>22</v>
      </c>
      <c r="AW93">
        <v>28</v>
      </c>
      <c r="AX93">
        <v>78</v>
      </c>
      <c r="AY93">
        <v>45</v>
      </c>
      <c r="AZ93">
        <v>32</v>
      </c>
      <c r="BA93">
        <v>93</v>
      </c>
      <c r="BB93">
        <v>59</v>
      </c>
      <c r="BC93">
        <v>68</v>
      </c>
      <c r="BD93">
        <v>43</v>
      </c>
      <c r="BE93">
        <v>68</v>
      </c>
      <c r="BF93">
        <v>90</v>
      </c>
      <c r="BG93" t="s">
        <v>22</v>
      </c>
    </row>
    <row r="94" spans="1:59" x14ac:dyDescent="0.25">
      <c r="A94" t="s">
        <v>409</v>
      </c>
      <c r="B94" t="s">
        <v>410</v>
      </c>
      <c r="C94">
        <v>0</v>
      </c>
      <c r="D94" t="s">
        <v>176</v>
      </c>
      <c r="E94">
        <v>0</v>
      </c>
      <c r="F94" t="s">
        <v>187</v>
      </c>
      <c r="G94">
        <v>0</v>
      </c>
      <c r="H94" t="s">
        <v>115</v>
      </c>
      <c r="I94">
        <v>0</v>
      </c>
      <c r="J94" t="s">
        <v>52</v>
      </c>
      <c r="K94">
        <v>0</v>
      </c>
      <c r="L94" t="s">
        <v>154</v>
      </c>
      <c r="M94">
        <v>0</v>
      </c>
      <c r="N94" t="s">
        <v>7</v>
      </c>
      <c r="O94">
        <v>0</v>
      </c>
      <c r="AF94" t="s">
        <v>22</v>
      </c>
      <c r="AG94">
        <f>(+M94)</f>
        <v>0</v>
      </c>
      <c r="AH94">
        <f>(+C94+E94+I94+O94)</f>
        <v>0</v>
      </c>
      <c r="AI94">
        <f>(+C94+E94+G94+M94)</f>
        <v>0</v>
      </c>
      <c r="AJ94">
        <f>(+E94+G94+O94)</f>
        <v>0</v>
      </c>
      <c r="AK94">
        <f>(+G94+K94)</f>
        <v>0</v>
      </c>
      <c r="AL94">
        <f>(+E94+G94+I94)</f>
        <v>0</v>
      </c>
      <c r="AM94">
        <f>(+C94+E94+M94)</f>
        <v>0</v>
      </c>
      <c r="AN94">
        <f>(+C94+E94+G94+M94)</f>
        <v>0</v>
      </c>
      <c r="AV94" t="s">
        <v>22</v>
      </c>
      <c r="AW94">
        <v>13</v>
      </c>
      <c r="AX94">
        <v>34</v>
      </c>
      <c r="AY94">
        <v>32</v>
      </c>
      <c r="AZ94">
        <v>31</v>
      </c>
      <c r="BA94">
        <v>11</v>
      </c>
      <c r="BB94">
        <v>28</v>
      </c>
      <c r="BC94">
        <v>24</v>
      </c>
      <c r="BD94">
        <v>32</v>
      </c>
      <c r="BE94" t="s">
        <v>22</v>
      </c>
    </row>
    <row r="95" spans="1:59" x14ac:dyDescent="0.25">
      <c r="A95" t="s">
        <v>411</v>
      </c>
      <c r="B95" t="s">
        <v>28</v>
      </c>
      <c r="C95">
        <v>0</v>
      </c>
      <c r="D95" t="s">
        <v>133</v>
      </c>
      <c r="E95">
        <v>0</v>
      </c>
      <c r="F95" t="s">
        <v>306</v>
      </c>
      <c r="G95">
        <v>0</v>
      </c>
      <c r="H95" t="s">
        <v>44</v>
      </c>
      <c r="I95">
        <v>0</v>
      </c>
      <c r="J95" t="s">
        <v>290</v>
      </c>
      <c r="K95">
        <v>0</v>
      </c>
      <c r="L95" t="s">
        <v>309</v>
      </c>
      <c r="M95">
        <v>0</v>
      </c>
      <c r="AF95" t="s">
        <v>22</v>
      </c>
      <c r="AG95">
        <f>(+E95+G95)</f>
        <v>0</v>
      </c>
      <c r="AH95">
        <f>(+C95+E95+K95)</f>
        <v>0</v>
      </c>
      <c r="AI95">
        <f>(+E95+G95+M95)</f>
        <v>0</v>
      </c>
      <c r="AJ95">
        <f>(+C95+E95+M95)</f>
        <v>0</v>
      </c>
      <c r="AK95">
        <f>(+C95+E95+G95+I95+K95)</f>
        <v>0</v>
      </c>
      <c r="AL95">
        <f>(+C95+G95+I95+K95+M95)</f>
        <v>0</v>
      </c>
      <c r="AM95">
        <f>(+E95+G95+M95)</f>
        <v>0</v>
      </c>
      <c r="AV95" t="s">
        <v>22</v>
      </c>
      <c r="AW95">
        <v>17</v>
      </c>
      <c r="AX95">
        <v>18</v>
      </c>
      <c r="AY95">
        <v>17</v>
      </c>
      <c r="AZ95">
        <v>12</v>
      </c>
      <c r="BA95">
        <v>30</v>
      </c>
      <c r="BB95">
        <v>23</v>
      </c>
      <c r="BC95">
        <v>17</v>
      </c>
      <c r="BD95" t="s">
        <v>22</v>
      </c>
    </row>
    <row r="96" spans="1:59" x14ac:dyDescent="0.25">
      <c r="A96" t="s">
        <v>412</v>
      </c>
      <c r="B96" t="s">
        <v>180</v>
      </c>
      <c r="C96">
        <v>0</v>
      </c>
      <c r="D96" t="s">
        <v>413</v>
      </c>
      <c r="E96">
        <v>0</v>
      </c>
      <c r="F96" t="s">
        <v>414</v>
      </c>
      <c r="G96">
        <v>0</v>
      </c>
      <c r="H96" t="s">
        <v>415</v>
      </c>
      <c r="I96">
        <v>0</v>
      </c>
      <c r="J96" t="s">
        <v>245</v>
      </c>
      <c r="K96">
        <v>0</v>
      </c>
      <c r="L96" t="s">
        <v>416</v>
      </c>
      <c r="M96">
        <v>0</v>
      </c>
      <c r="N96" t="s">
        <v>322</v>
      </c>
      <c r="O96">
        <v>0</v>
      </c>
      <c r="P96" t="s">
        <v>417</v>
      </c>
      <c r="Q96">
        <v>0</v>
      </c>
      <c r="R96" t="s">
        <v>418</v>
      </c>
      <c r="S96">
        <v>0</v>
      </c>
      <c r="T96" t="s">
        <v>211</v>
      </c>
      <c r="U96">
        <v>0</v>
      </c>
      <c r="V96" t="s">
        <v>171</v>
      </c>
      <c r="W96">
        <v>0</v>
      </c>
      <c r="AF96" t="s">
        <v>22</v>
      </c>
      <c r="AG96">
        <f>(+C96+I96+K96+S96+U96+W96)</f>
        <v>0</v>
      </c>
      <c r="AH96">
        <f>(+E96+G96+O96+Q96+S96+U96+W96)</f>
        <v>0</v>
      </c>
      <c r="AI96">
        <f>(+E96+G96+I96+K96+S96+U96+W96)</f>
        <v>0</v>
      </c>
      <c r="AJ96">
        <f>(+C96+E96+O96+Q96+S96)</f>
        <v>0</v>
      </c>
      <c r="AK96">
        <f>(+C96+E96+M96+S96+U96)</f>
        <v>0</v>
      </c>
      <c r="AL96">
        <f>(+C96+E96+G96+I96+K96+S96+U96+W96)</f>
        <v>0</v>
      </c>
      <c r="AM96">
        <f>(+C96+E96+I96+Q96+S96+U96)</f>
        <v>0</v>
      </c>
      <c r="AN96">
        <f>(+C96+G96+I96+M96+Q96+S96)</f>
        <v>0</v>
      </c>
      <c r="AO96">
        <f>(+E96+I96+M96+O96+Q96+U96)</f>
        <v>0</v>
      </c>
      <c r="AV96" t="s">
        <v>22</v>
      </c>
      <c r="AW96">
        <v>196</v>
      </c>
      <c r="AX96">
        <v>232</v>
      </c>
      <c r="AY96">
        <v>215</v>
      </c>
      <c r="AZ96">
        <v>212</v>
      </c>
      <c r="BA96">
        <v>207</v>
      </c>
      <c r="BB96">
        <v>222</v>
      </c>
      <c r="BC96">
        <v>205</v>
      </c>
      <c r="BD96">
        <v>195</v>
      </c>
      <c r="BE96">
        <v>72</v>
      </c>
      <c r="BF96" t="s">
        <v>22</v>
      </c>
    </row>
    <row r="97" spans="1:57" x14ac:dyDescent="0.25">
      <c r="A97" t="s">
        <v>419</v>
      </c>
      <c r="B97" t="s">
        <v>8</v>
      </c>
      <c r="C97">
        <v>0</v>
      </c>
      <c r="D97" t="s">
        <v>47</v>
      </c>
      <c r="E97">
        <v>0</v>
      </c>
      <c r="F97" t="s">
        <v>21</v>
      </c>
      <c r="G97">
        <v>0</v>
      </c>
      <c r="AF97" t="s">
        <v>22</v>
      </c>
      <c r="AG97">
        <f>(+E97)</f>
        <v>0</v>
      </c>
      <c r="AH97">
        <f>(+G97)</f>
        <v>0</v>
      </c>
      <c r="AI97">
        <f>(+C97+G97)</f>
        <v>0</v>
      </c>
      <c r="AJ97">
        <f>(+E97)</f>
        <v>0</v>
      </c>
      <c r="AV97" t="s">
        <v>22</v>
      </c>
      <c r="AW97">
        <v>15</v>
      </c>
      <c r="AX97">
        <v>19</v>
      </c>
      <c r="AY97">
        <v>30</v>
      </c>
      <c r="AZ97">
        <v>15</v>
      </c>
      <c r="BA97" t="s">
        <v>22</v>
      </c>
    </row>
    <row r="98" spans="1:57" x14ac:dyDescent="0.25">
      <c r="A98" t="s">
        <v>420</v>
      </c>
      <c r="B98" t="s">
        <v>11</v>
      </c>
      <c r="C98">
        <v>0</v>
      </c>
      <c r="D98" t="s">
        <v>13</v>
      </c>
      <c r="E98">
        <v>0</v>
      </c>
      <c r="F98" t="s">
        <v>21</v>
      </c>
      <c r="G98">
        <v>0</v>
      </c>
      <c r="H98" t="s">
        <v>25</v>
      </c>
      <c r="I98">
        <v>0</v>
      </c>
      <c r="AF98" t="s">
        <v>22</v>
      </c>
      <c r="AG98">
        <f>(+C98+E98)</f>
        <v>0</v>
      </c>
      <c r="AH98">
        <f>(+C98+G98)</f>
        <v>0</v>
      </c>
      <c r="AI98">
        <f>(+E98+G98)</f>
        <v>0</v>
      </c>
      <c r="AJ98">
        <f>(+E98+I98)</f>
        <v>0</v>
      </c>
      <c r="AK98">
        <f>(+E98+I98)</f>
        <v>0</v>
      </c>
      <c r="AV98" t="s">
        <v>22</v>
      </c>
      <c r="AW98">
        <v>14</v>
      </c>
      <c r="AX98">
        <v>19</v>
      </c>
      <c r="AY98">
        <v>25</v>
      </c>
      <c r="AZ98">
        <v>26</v>
      </c>
      <c r="BA98">
        <v>26</v>
      </c>
      <c r="BB98" t="s">
        <v>22</v>
      </c>
    </row>
    <row r="99" spans="1:57" x14ac:dyDescent="0.25">
      <c r="A99" t="s">
        <v>421</v>
      </c>
      <c r="B99" t="s">
        <v>40</v>
      </c>
      <c r="C99">
        <v>0</v>
      </c>
      <c r="D99" t="s">
        <v>27</v>
      </c>
      <c r="E99">
        <v>0</v>
      </c>
      <c r="AF99" t="s">
        <v>22</v>
      </c>
      <c r="AG99">
        <f>(+C99+E99)</f>
        <v>0</v>
      </c>
      <c r="AH99">
        <f>(+E99)</f>
        <v>0</v>
      </c>
      <c r="AI99">
        <f>(+C99+E99)</f>
        <v>0</v>
      </c>
      <c r="AJ99">
        <f>(+C99+E99)</f>
        <v>0</v>
      </c>
      <c r="AV99" t="s">
        <v>22</v>
      </c>
      <c r="AW99">
        <v>20</v>
      </c>
      <c r="AX99">
        <v>6</v>
      </c>
      <c r="AY99">
        <v>20</v>
      </c>
      <c r="AZ99">
        <v>20</v>
      </c>
      <c r="BA99" t="s">
        <v>22</v>
      </c>
    </row>
    <row r="100" spans="1:57" x14ac:dyDescent="0.25">
      <c r="A100" t="s">
        <v>422</v>
      </c>
      <c r="B100" t="s">
        <v>121</v>
      </c>
      <c r="C100">
        <v>0</v>
      </c>
      <c r="D100" t="s">
        <v>423</v>
      </c>
      <c r="E100">
        <v>0</v>
      </c>
      <c r="F100" t="s">
        <v>14</v>
      </c>
      <c r="G100">
        <v>0</v>
      </c>
      <c r="H100" t="s">
        <v>46</v>
      </c>
      <c r="I100">
        <v>0</v>
      </c>
      <c r="J100" t="s">
        <v>149</v>
      </c>
      <c r="K100">
        <v>0</v>
      </c>
      <c r="L100" t="s">
        <v>90</v>
      </c>
      <c r="M100">
        <v>0</v>
      </c>
      <c r="N100" t="s">
        <v>280</v>
      </c>
      <c r="O100">
        <v>0</v>
      </c>
      <c r="AF100" t="s">
        <v>22</v>
      </c>
      <c r="AG100">
        <f>(+C100+G100+I100+O100)</f>
        <v>0</v>
      </c>
      <c r="AH100">
        <f>(+I100+M100+O100)</f>
        <v>0</v>
      </c>
      <c r="AI100">
        <f>(+C100+K100+O100)</f>
        <v>0</v>
      </c>
      <c r="AJ100">
        <f>(+C100+O100)</f>
        <v>0</v>
      </c>
      <c r="AK100">
        <f>(+G100+K100+M100+O100)</f>
        <v>0</v>
      </c>
      <c r="AL100">
        <f>(+E100+I100+K100+O100)</f>
        <v>0</v>
      </c>
      <c r="AM100">
        <f>(+C100+K100+M100)</f>
        <v>0</v>
      </c>
      <c r="AN100">
        <f>(+C100)</f>
        <v>0</v>
      </c>
      <c r="AV100" t="s">
        <v>22</v>
      </c>
      <c r="AW100">
        <v>59</v>
      </c>
      <c r="AX100">
        <v>47</v>
      </c>
      <c r="AY100">
        <v>35</v>
      </c>
      <c r="AZ100">
        <v>30</v>
      </c>
      <c r="BA100">
        <v>43</v>
      </c>
      <c r="BB100">
        <v>52</v>
      </c>
      <c r="BC100">
        <v>25</v>
      </c>
      <c r="BD100">
        <v>11</v>
      </c>
      <c r="BE100" t="s">
        <v>22</v>
      </c>
    </row>
    <row r="101" spans="1:57" x14ac:dyDescent="0.25">
      <c r="A101" t="s">
        <v>424</v>
      </c>
      <c r="B101" t="s">
        <v>21</v>
      </c>
      <c r="C101">
        <v>0</v>
      </c>
      <c r="D101" t="s">
        <v>40</v>
      </c>
      <c r="E101">
        <v>0</v>
      </c>
      <c r="F101" t="s">
        <v>7</v>
      </c>
      <c r="G101">
        <v>0</v>
      </c>
      <c r="AF101" t="s">
        <v>22</v>
      </c>
      <c r="AG101">
        <f>(+E101)</f>
        <v>0</v>
      </c>
      <c r="AH101">
        <f>(+C101+G101)</f>
        <v>0</v>
      </c>
      <c r="AI101">
        <f>(+C101+E101)</f>
        <v>0</v>
      </c>
      <c r="AJ101">
        <f>(+E101+G101)</f>
        <v>0</v>
      </c>
      <c r="AV101" t="s">
        <v>22</v>
      </c>
      <c r="AW101">
        <v>15</v>
      </c>
      <c r="AX101">
        <v>167</v>
      </c>
      <c r="AY101">
        <v>35</v>
      </c>
      <c r="AZ101">
        <v>162</v>
      </c>
      <c r="BA101" t="s">
        <v>22</v>
      </c>
    </row>
    <row r="102" spans="1:57" x14ac:dyDescent="0.25">
      <c r="A102" t="s">
        <v>425</v>
      </c>
      <c r="B102" t="s">
        <v>362</v>
      </c>
      <c r="C102">
        <v>0</v>
      </c>
      <c r="D102" t="s">
        <v>21</v>
      </c>
      <c r="E102">
        <v>0</v>
      </c>
      <c r="F102" t="s">
        <v>383</v>
      </c>
      <c r="G102">
        <v>0</v>
      </c>
      <c r="H102" t="s">
        <v>184</v>
      </c>
      <c r="I102">
        <v>0</v>
      </c>
      <c r="J102" t="s">
        <v>426</v>
      </c>
      <c r="K102">
        <v>0</v>
      </c>
      <c r="L102" t="s">
        <v>197</v>
      </c>
      <c r="M102">
        <v>0</v>
      </c>
      <c r="N102" t="s">
        <v>364</v>
      </c>
      <c r="O102">
        <v>0</v>
      </c>
      <c r="P102" t="s">
        <v>187</v>
      </c>
      <c r="Q102">
        <v>0</v>
      </c>
      <c r="R102" t="s">
        <v>47</v>
      </c>
      <c r="S102">
        <v>0</v>
      </c>
      <c r="T102" t="s">
        <v>196</v>
      </c>
      <c r="U102">
        <v>0</v>
      </c>
      <c r="AF102" t="s">
        <v>22</v>
      </c>
      <c r="AG102">
        <f>(+C102+G102+I102+K102+M102+S102+U102)</f>
        <v>0</v>
      </c>
      <c r="AH102">
        <f>(+C102+E102+I102+K102+O102)</f>
        <v>0</v>
      </c>
      <c r="AI102">
        <f>(+E102+M102+Q102)</f>
        <v>0</v>
      </c>
      <c r="AJ102">
        <f>(+C102+M102+O102+Q102+S102+U102)</f>
        <v>0</v>
      </c>
      <c r="AK102">
        <f>(+I102+K102+O102+Q102)</f>
        <v>0</v>
      </c>
      <c r="AL102">
        <f>(+C102+I102+K102+O102+Q102)</f>
        <v>0</v>
      </c>
      <c r="AM102">
        <f>(+C102+I102+O102+U102)</f>
        <v>0</v>
      </c>
      <c r="AN102">
        <f>(+C102+G102+I102+K102+M102+O102+Q102)</f>
        <v>0</v>
      </c>
      <c r="AV102" t="s">
        <v>22</v>
      </c>
      <c r="AW102">
        <v>72</v>
      </c>
      <c r="AX102">
        <v>38</v>
      </c>
      <c r="AY102">
        <v>25</v>
      </c>
      <c r="AZ102">
        <v>65</v>
      </c>
      <c r="BA102">
        <v>40</v>
      </c>
      <c r="BB102">
        <v>42</v>
      </c>
      <c r="BC102">
        <v>37</v>
      </c>
      <c r="BD102">
        <v>66</v>
      </c>
      <c r="BE102" t="s">
        <v>22</v>
      </c>
    </row>
    <row r="103" spans="1:57" x14ac:dyDescent="0.25">
      <c r="A103" t="s">
        <v>427</v>
      </c>
      <c r="B103" t="s">
        <v>7</v>
      </c>
      <c r="C103">
        <v>0</v>
      </c>
      <c r="D103" t="s">
        <v>39</v>
      </c>
      <c r="E103">
        <v>0</v>
      </c>
      <c r="F103" t="s">
        <v>9</v>
      </c>
      <c r="G103">
        <v>0</v>
      </c>
      <c r="H103" t="s">
        <v>106</v>
      </c>
      <c r="I103">
        <v>0</v>
      </c>
      <c r="AF103" t="s">
        <v>22</v>
      </c>
      <c r="AG103">
        <f>(+E103+I103)</f>
        <v>0</v>
      </c>
      <c r="AH103">
        <f>(+C103+E103)</f>
        <v>0</v>
      </c>
      <c r="AI103">
        <f>(+G103+I103)</f>
        <v>0</v>
      </c>
      <c r="AJ103">
        <f>(+C103+E103+G103)</f>
        <v>0</v>
      </c>
      <c r="AK103">
        <f>(+I103)</f>
        <v>0</v>
      </c>
      <c r="AV103" t="s">
        <v>22</v>
      </c>
      <c r="AW103">
        <v>129</v>
      </c>
      <c r="AX103">
        <v>17</v>
      </c>
      <c r="AY103">
        <v>138</v>
      </c>
      <c r="AZ103">
        <v>37</v>
      </c>
      <c r="BA103">
        <v>118</v>
      </c>
      <c r="BB103" t="s">
        <v>22</v>
      </c>
    </row>
    <row r="104" spans="1:57" x14ac:dyDescent="0.25">
      <c r="A104" t="s">
        <v>428</v>
      </c>
      <c r="B104" t="s">
        <v>27</v>
      </c>
      <c r="C104">
        <v>0</v>
      </c>
      <c r="D104" t="s">
        <v>11</v>
      </c>
      <c r="E104">
        <v>0</v>
      </c>
      <c r="F104" t="s">
        <v>9</v>
      </c>
      <c r="G104">
        <v>0</v>
      </c>
      <c r="H104" t="s">
        <v>106</v>
      </c>
      <c r="I104">
        <v>0</v>
      </c>
      <c r="J104" t="s">
        <v>152</v>
      </c>
      <c r="K104">
        <v>0</v>
      </c>
      <c r="AF104" t="s">
        <v>22</v>
      </c>
      <c r="AG104">
        <f>(+C104+E104+I104+K104)</f>
        <v>0</v>
      </c>
      <c r="AH104">
        <f>(+C104+E104+K104)</f>
        <v>0</v>
      </c>
      <c r="AI104">
        <f>(+C104+G104+I104+K104)</f>
        <v>0</v>
      </c>
      <c r="AJ104">
        <f>(+C104+G104)</f>
        <v>0</v>
      </c>
      <c r="AK104">
        <f>(+I104+K104)</f>
        <v>0</v>
      </c>
      <c r="AV104" t="s">
        <v>22</v>
      </c>
      <c r="AW104">
        <v>46</v>
      </c>
      <c r="AX104">
        <v>46</v>
      </c>
      <c r="AY104">
        <v>39</v>
      </c>
      <c r="AZ104">
        <v>24</v>
      </c>
      <c r="BA104">
        <v>15</v>
      </c>
      <c r="BB104" t="s">
        <v>22</v>
      </c>
    </row>
    <row r="105" spans="1:57" x14ac:dyDescent="0.25">
      <c r="A105" t="s">
        <v>429</v>
      </c>
      <c r="B105" t="s">
        <v>10</v>
      </c>
      <c r="C105">
        <v>0</v>
      </c>
      <c r="D105" t="s">
        <v>7</v>
      </c>
      <c r="E105">
        <v>0</v>
      </c>
      <c r="F105" t="s">
        <v>39</v>
      </c>
      <c r="G105">
        <v>0</v>
      </c>
      <c r="H105" t="s">
        <v>6</v>
      </c>
      <c r="I105">
        <v>0</v>
      </c>
      <c r="J105" t="s">
        <v>15</v>
      </c>
      <c r="K105">
        <v>0</v>
      </c>
      <c r="AF105" t="s">
        <v>22</v>
      </c>
      <c r="AG105">
        <f>(+C105+G105+K105)</f>
        <v>0</v>
      </c>
      <c r="AH105">
        <f>(+E105+G105+K105)</f>
        <v>0</v>
      </c>
      <c r="AI105">
        <f>(+C105+K105)</f>
        <v>0</v>
      </c>
      <c r="AJ105">
        <f>(+E105+G105+I105)</f>
        <v>0</v>
      </c>
      <c r="AV105" t="s">
        <v>22</v>
      </c>
      <c r="AW105">
        <v>19</v>
      </c>
      <c r="AX105">
        <v>171</v>
      </c>
      <c r="AY105">
        <v>9</v>
      </c>
      <c r="AZ105">
        <v>164</v>
      </c>
      <c r="BA105" t="s">
        <v>22</v>
      </c>
    </row>
    <row r="106" spans="1:57" x14ac:dyDescent="0.25">
      <c r="A106" t="s">
        <v>430</v>
      </c>
      <c r="B106" t="s">
        <v>15</v>
      </c>
      <c r="C106">
        <v>0</v>
      </c>
      <c r="D106" t="s">
        <v>38</v>
      </c>
      <c r="E106">
        <v>0</v>
      </c>
      <c r="F106" t="s">
        <v>7</v>
      </c>
      <c r="G106">
        <v>0</v>
      </c>
      <c r="H106" t="s">
        <v>9</v>
      </c>
      <c r="I106">
        <v>0</v>
      </c>
      <c r="J106" t="s">
        <v>10</v>
      </c>
      <c r="K106">
        <v>0</v>
      </c>
      <c r="AF106" t="s">
        <v>22</v>
      </c>
      <c r="AG106">
        <f>(+C106+K106)</f>
        <v>0</v>
      </c>
      <c r="AH106">
        <f>(+C106+E106+G106)</f>
        <v>0</v>
      </c>
      <c r="AI106">
        <f>(+C106+I106+K106)</f>
        <v>0</v>
      </c>
      <c r="AJ106">
        <f>(+G106+I106)</f>
        <v>0</v>
      </c>
      <c r="AV106" t="s">
        <v>22</v>
      </c>
      <c r="AW106">
        <v>29</v>
      </c>
      <c r="AX106">
        <v>23</v>
      </c>
      <c r="AY106">
        <v>41</v>
      </c>
      <c r="AZ106">
        <v>17</v>
      </c>
      <c r="BA106" t="s">
        <v>22</v>
      </c>
    </row>
    <row r="107" spans="1:57" x14ac:dyDescent="0.25">
      <c r="A107" t="s">
        <v>431</v>
      </c>
      <c r="B107" t="s">
        <v>43</v>
      </c>
      <c r="C107">
        <v>0</v>
      </c>
      <c r="D107" t="s">
        <v>20</v>
      </c>
      <c r="E107">
        <v>0</v>
      </c>
      <c r="F107" t="s">
        <v>115</v>
      </c>
      <c r="G107">
        <v>0</v>
      </c>
      <c r="H107" t="s">
        <v>48</v>
      </c>
      <c r="I107">
        <v>0</v>
      </c>
      <c r="J107" t="s">
        <v>26</v>
      </c>
      <c r="K107">
        <v>0</v>
      </c>
      <c r="AF107" t="s">
        <v>22</v>
      </c>
      <c r="AG107">
        <f>(+E107+K107)</f>
        <v>0</v>
      </c>
      <c r="AH107">
        <f>(+E107+G107)</f>
        <v>0</v>
      </c>
      <c r="AI107">
        <f>(+C107+E107+K107)</f>
        <v>0</v>
      </c>
      <c r="AJ107">
        <f>(+I107+K107)</f>
        <v>0</v>
      </c>
      <c r="AK107">
        <f>(+C107+E107)</f>
        <v>0</v>
      </c>
      <c r="AL107">
        <f>(+C107+E107+G107+I107+K107)</f>
        <v>0</v>
      </c>
      <c r="AV107" t="s">
        <v>22</v>
      </c>
      <c r="AW107">
        <v>16</v>
      </c>
      <c r="AX107">
        <v>29</v>
      </c>
      <c r="AY107">
        <v>134</v>
      </c>
      <c r="AZ107">
        <v>22</v>
      </c>
      <c r="BA107">
        <v>127</v>
      </c>
      <c r="BB107">
        <v>169</v>
      </c>
      <c r="BC107" t="s">
        <v>22</v>
      </c>
    </row>
    <row r="108" spans="1:57" x14ac:dyDescent="0.25">
      <c r="A108" t="s">
        <v>432</v>
      </c>
      <c r="B108" t="s">
        <v>54</v>
      </c>
      <c r="C108">
        <v>0</v>
      </c>
      <c r="D108" t="s">
        <v>118</v>
      </c>
      <c r="E108">
        <v>0</v>
      </c>
      <c r="F108" t="s">
        <v>9</v>
      </c>
      <c r="G108">
        <v>0</v>
      </c>
      <c r="H108" t="s">
        <v>34</v>
      </c>
      <c r="I108">
        <v>0</v>
      </c>
      <c r="J108" t="s">
        <v>433</v>
      </c>
      <c r="K108">
        <v>0</v>
      </c>
      <c r="L108" t="s">
        <v>434</v>
      </c>
      <c r="M108">
        <v>0</v>
      </c>
      <c r="N108" t="s">
        <v>44</v>
      </c>
      <c r="O108">
        <v>0</v>
      </c>
      <c r="P108" t="s">
        <v>11</v>
      </c>
      <c r="Q108">
        <v>0</v>
      </c>
      <c r="AF108" t="s">
        <v>22</v>
      </c>
      <c r="AG108">
        <f>(+I108+K108+M108+Q108)</f>
        <v>0</v>
      </c>
      <c r="AH108">
        <f>(+C108+E108+K108+Q108)</f>
        <v>0</v>
      </c>
      <c r="AI108">
        <f>(+C108+G108+I108)</f>
        <v>0</v>
      </c>
      <c r="AJ108">
        <f>(+C108+E108+G108+I108+K108)</f>
        <v>0</v>
      </c>
      <c r="AK108">
        <f>(+E108+I108+M108+O108)</f>
        <v>0</v>
      </c>
      <c r="AL108">
        <f>(+C108+I108+K108+O108)</f>
        <v>0</v>
      </c>
      <c r="AM108">
        <f>(+C108+M108)</f>
        <v>0</v>
      </c>
      <c r="AV108" t="s">
        <v>22</v>
      </c>
      <c r="AW108">
        <v>58</v>
      </c>
      <c r="AX108">
        <v>25</v>
      </c>
      <c r="AY108">
        <v>38</v>
      </c>
      <c r="AZ108">
        <v>50</v>
      </c>
      <c r="BA108">
        <v>161</v>
      </c>
      <c r="BB108">
        <v>150</v>
      </c>
      <c r="BC108">
        <v>23</v>
      </c>
      <c r="BD108" t="s">
        <v>22</v>
      </c>
    </row>
    <row r="109" spans="1:57" x14ac:dyDescent="0.25">
      <c r="A109" t="s">
        <v>435</v>
      </c>
      <c r="B109" t="s">
        <v>152</v>
      </c>
      <c r="C109">
        <v>0</v>
      </c>
      <c r="D109" t="s">
        <v>204</v>
      </c>
      <c r="E109">
        <v>0</v>
      </c>
      <c r="F109" t="s">
        <v>10</v>
      </c>
      <c r="G109">
        <v>0</v>
      </c>
      <c r="AF109" t="s">
        <v>22</v>
      </c>
      <c r="AG109">
        <f>(+C109+E109+G109)</f>
        <v>0</v>
      </c>
      <c r="AH109">
        <f>(+C109+E109)</f>
        <v>0</v>
      </c>
      <c r="AI109">
        <f>(+C109+G109)</f>
        <v>0</v>
      </c>
      <c r="AJ109">
        <f>(+E109)</f>
        <v>0</v>
      </c>
      <c r="AK109">
        <f>(+C109+E109)</f>
        <v>0</v>
      </c>
      <c r="AV109" t="s">
        <v>22</v>
      </c>
      <c r="AW109">
        <v>138</v>
      </c>
      <c r="AX109">
        <v>128</v>
      </c>
      <c r="AY109">
        <v>24</v>
      </c>
      <c r="AZ109">
        <v>114</v>
      </c>
      <c r="BA109">
        <v>128</v>
      </c>
      <c r="BB109" t="s">
        <v>22</v>
      </c>
    </row>
    <row r="110" spans="1:57" x14ac:dyDescent="0.25">
      <c r="A110" t="s">
        <v>436</v>
      </c>
      <c r="B110" t="s">
        <v>366</v>
      </c>
      <c r="C110">
        <v>0</v>
      </c>
      <c r="D110" t="s">
        <v>19</v>
      </c>
      <c r="E110">
        <v>0</v>
      </c>
      <c r="F110" t="s">
        <v>10</v>
      </c>
      <c r="G110">
        <v>0</v>
      </c>
      <c r="H110" t="s">
        <v>423</v>
      </c>
      <c r="I110">
        <v>0</v>
      </c>
      <c r="J110" t="s">
        <v>9</v>
      </c>
      <c r="K110">
        <v>0</v>
      </c>
      <c r="L110" t="s">
        <v>44</v>
      </c>
      <c r="M110">
        <v>0</v>
      </c>
      <c r="N110" t="s">
        <v>46</v>
      </c>
      <c r="O110">
        <v>0</v>
      </c>
      <c r="AF110" t="s">
        <v>22</v>
      </c>
      <c r="AG110">
        <f>(+C110+E110+G110+O110)</f>
        <v>0</v>
      </c>
      <c r="AH110">
        <f>(+O110)</f>
        <v>0</v>
      </c>
      <c r="AI110">
        <f>(+G110+K110)</f>
        <v>0</v>
      </c>
      <c r="AJ110">
        <f>(+C110+E110+K110)</f>
        <v>0</v>
      </c>
      <c r="AK110">
        <f>(+C110+E110+M110)</f>
        <v>0</v>
      </c>
      <c r="AL110">
        <f>(+C110+I110+M110+O110)</f>
        <v>0</v>
      </c>
      <c r="AV110" t="s">
        <v>22</v>
      </c>
      <c r="AW110">
        <v>39</v>
      </c>
      <c r="AX110">
        <v>10</v>
      </c>
      <c r="AY110">
        <v>25</v>
      </c>
      <c r="AZ110">
        <v>26</v>
      </c>
      <c r="BA110">
        <v>23</v>
      </c>
      <c r="BB110">
        <v>27</v>
      </c>
      <c r="BC110" t="s">
        <v>22</v>
      </c>
    </row>
    <row r="111" spans="1:57" x14ac:dyDescent="0.25">
      <c r="A111" t="s">
        <v>437</v>
      </c>
      <c r="B111" t="s">
        <v>14</v>
      </c>
      <c r="C111">
        <v>0</v>
      </c>
      <c r="D111" t="s">
        <v>25</v>
      </c>
      <c r="E111">
        <v>0</v>
      </c>
      <c r="F111" t="s">
        <v>16</v>
      </c>
      <c r="G111">
        <v>0</v>
      </c>
      <c r="H111" t="s">
        <v>106</v>
      </c>
      <c r="I111">
        <v>0</v>
      </c>
      <c r="J111" t="s">
        <v>7</v>
      </c>
      <c r="K111">
        <v>0</v>
      </c>
      <c r="AF111" t="s">
        <v>22</v>
      </c>
      <c r="AG111">
        <f>(+C111+I111)</f>
        <v>0</v>
      </c>
      <c r="AH111">
        <f>(+G111+K111)</f>
        <v>0</v>
      </c>
      <c r="AI111">
        <f>(+G111+I111)</f>
        <v>0</v>
      </c>
      <c r="AJ111">
        <f>(+E111+G111+K111)</f>
        <v>0</v>
      </c>
      <c r="AK111">
        <f>(+C111+E111+G111+I111)</f>
        <v>0</v>
      </c>
      <c r="AV111" t="s">
        <v>22</v>
      </c>
      <c r="AW111">
        <v>17</v>
      </c>
      <c r="AX111">
        <v>37</v>
      </c>
      <c r="AY111">
        <v>33</v>
      </c>
      <c r="AZ111">
        <v>46</v>
      </c>
      <c r="BA111">
        <v>45</v>
      </c>
      <c r="BB111" t="s">
        <v>22</v>
      </c>
    </row>
    <row r="112" spans="1:57" x14ac:dyDescent="0.25">
      <c r="A112" t="s">
        <v>438</v>
      </c>
      <c r="B112" t="s">
        <v>50</v>
      </c>
      <c r="C112">
        <v>0</v>
      </c>
      <c r="D112" t="s">
        <v>128</v>
      </c>
      <c r="E112">
        <v>0</v>
      </c>
      <c r="F112" t="s">
        <v>13</v>
      </c>
      <c r="G112">
        <v>0</v>
      </c>
      <c r="AF112" t="s">
        <v>22</v>
      </c>
      <c r="AG112">
        <f>(+E112+G112)</f>
        <v>0</v>
      </c>
      <c r="AH112">
        <f>(+C112+E112)</f>
        <v>0</v>
      </c>
      <c r="AI112">
        <f>(+C112+G112)</f>
        <v>0</v>
      </c>
      <c r="AJ112">
        <f>(+C112+G112)</f>
        <v>0</v>
      </c>
      <c r="AK112">
        <f>(+E112+G112)</f>
        <v>0</v>
      </c>
      <c r="AV112" t="s">
        <v>22</v>
      </c>
      <c r="AW112">
        <v>10</v>
      </c>
      <c r="AX112">
        <v>15</v>
      </c>
      <c r="AY112">
        <v>11</v>
      </c>
      <c r="AZ112">
        <v>11</v>
      </c>
      <c r="BA112">
        <v>10</v>
      </c>
      <c r="BB112" t="s">
        <v>22</v>
      </c>
    </row>
    <row r="113" spans="1:59" x14ac:dyDescent="0.25">
      <c r="A113" t="s">
        <v>439</v>
      </c>
      <c r="B113" t="s">
        <v>440</v>
      </c>
      <c r="C113">
        <v>0</v>
      </c>
      <c r="D113" t="s">
        <v>434</v>
      </c>
      <c r="E113">
        <v>0</v>
      </c>
      <c r="F113" t="s">
        <v>48</v>
      </c>
      <c r="G113">
        <v>0</v>
      </c>
      <c r="H113" t="s">
        <v>441</v>
      </c>
      <c r="I113">
        <v>0</v>
      </c>
      <c r="J113" t="s">
        <v>14</v>
      </c>
      <c r="K113">
        <v>0</v>
      </c>
      <c r="L113" t="s">
        <v>300</v>
      </c>
      <c r="M113">
        <v>0</v>
      </c>
      <c r="AF113" t="s">
        <v>22</v>
      </c>
      <c r="AG113">
        <f>(+C113+E113+I113+K113+M113)</f>
        <v>0</v>
      </c>
      <c r="AH113">
        <f>(+C113)</f>
        <v>0</v>
      </c>
      <c r="AI113">
        <f>(+C113+I113+M113)</f>
        <v>0</v>
      </c>
      <c r="AJ113">
        <f>(+G113+I113)</f>
        <v>0</v>
      </c>
      <c r="AK113">
        <f>(+E113+K113+M113)</f>
        <v>0</v>
      </c>
      <c r="AL113">
        <f>(+G113+I113+M113)</f>
        <v>0</v>
      </c>
      <c r="AM113">
        <f>(+E113+I113+M113)</f>
        <v>0</v>
      </c>
      <c r="AN113">
        <f>(+C113+I113+M113)</f>
        <v>0</v>
      </c>
      <c r="AV113" t="s">
        <v>22</v>
      </c>
      <c r="AW113">
        <v>51</v>
      </c>
      <c r="AX113">
        <v>3</v>
      </c>
      <c r="AY113">
        <v>22</v>
      </c>
      <c r="AZ113">
        <v>8</v>
      </c>
      <c r="BA113">
        <v>40</v>
      </c>
      <c r="BB113">
        <v>19</v>
      </c>
      <c r="BC113">
        <v>38</v>
      </c>
      <c r="BD113">
        <v>22</v>
      </c>
      <c r="BE113" t="s">
        <v>22</v>
      </c>
    </row>
    <row r="114" spans="1:59" x14ac:dyDescent="0.25">
      <c r="A114" t="s">
        <v>442</v>
      </c>
      <c r="B114" t="s">
        <v>151</v>
      </c>
      <c r="C114">
        <v>0</v>
      </c>
      <c r="D114" t="s">
        <v>133</v>
      </c>
      <c r="E114">
        <v>0</v>
      </c>
      <c r="F114" t="s">
        <v>42</v>
      </c>
      <c r="G114">
        <v>0</v>
      </c>
      <c r="H114" t="s">
        <v>195</v>
      </c>
      <c r="I114">
        <v>0</v>
      </c>
      <c r="J114" t="s">
        <v>302</v>
      </c>
      <c r="K114">
        <v>0</v>
      </c>
      <c r="L114" t="s">
        <v>25</v>
      </c>
      <c r="M114">
        <v>0</v>
      </c>
      <c r="N114" t="s">
        <v>147</v>
      </c>
      <c r="O114">
        <v>0</v>
      </c>
      <c r="AF114" t="s">
        <v>22</v>
      </c>
      <c r="AG114">
        <f>(+C114+E114)</f>
        <v>0</v>
      </c>
      <c r="AH114">
        <f>(+E114+G114+I114)</f>
        <v>0</v>
      </c>
      <c r="AI114">
        <f>(+E114+G114+O114)</f>
        <v>0</v>
      </c>
      <c r="AJ114">
        <f>(+C114+E114+I114+M114+O114)</f>
        <v>0</v>
      </c>
      <c r="AK114">
        <f>(+E114+G114+I114+M114+O114)</f>
        <v>0</v>
      </c>
      <c r="AL114">
        <f>(+C114+K114+O114)</f>
        <v>0</v>
      </c>
      <c r="AM114">
        <f>(+E114+I114+K114+O114)</f>
        <v>0</v>
      </c>
      <c r="AV114" t="s">
        <v>22</v>
      </c>
      <c r="AW114">
        <v>27</v>
      </c>
      <c r="AX114">
        <v>54</v>
      </c>
      <c r="AY114">
        <v>40</v>
      </c>
      <c r="AZ114">
        <v>51</v>
      </c>
      <c r="BA114">
        <v>59</v>
      </c>
      <c r="BB114">
        <v>21</v>
      </c>
      <c r="BC114">
        <v>43</v>
      </c>
      <c r="BD114" t="s">
        <v>22</v>
      </c>
    </row>
    <row r="115" spans="1:59" x14ac:dyDescent="0.25">
      <c r="A115" t="s">
        <v>443</v>
      </c>
      <c r="B115" t="s">
        <v>444</v>
      </c>
      <c r="C115">
        <v>0</v>
      </c>
      <c r="D115" t="s">
        <v>445</v>
      </c>
      <c r="E115">
        <v>0</v>
      </c>
      <c r="F115" t="s">
        <v>446</v>
      </c>
      <c r="G115">
        <v>0</v>
      </c>
      <c r="H115" t="s">
        <v>447</v>
      </c>
      <c r="I115">
        <v>0</v>
      </c>
      <c r="J115" t="s">
        <v>448</v>
      </c>
      <c r="K115">
        <v>0</v>
      </c>
      <c r="L115" t="s">
        <v>449</v>
      </c>
      <c r="M115">
        <v>0</v>
      </c>
      <c r="N115" t="s">
        <v>270</v>
      </c>
      <c r="O115">
        <v>0</v>
      </c>
      <c r="P115" t="s">
        <v>450</v>
      </c>
      <c r="Q115">
        <v>0</v>
      </c>
      <c r="R115" t="s">
        <v>106</v>
      </c>
      <c r="S115">
        <v>0</v>
      </c>
      <c r="T115" t="s">
        <v>451</v>
      </c>
      <c r="U115">
        <v>0</v>
      </c>
      <c r="V115" t="s">
        <v>290</v>
      </c>
      <c r="W115">
        <v>0</v>
      </c>
      <c r="X115" t="s">
        <v>251</v>
      </c>
      <c r="Y115">
        <v>0</v>
      </c>
      <c r="AF115" t="s">
        <v>22</v>
      </c>
      <c r="AG115">
        <f>(+I115+K115+O115+Q115+S115)</f>
        <v>0</v>
      </c>
      <c r="AH115">
        <f>(+C115+W115)</f>
        <v>0</v>
      </c>
      <c r="AI115">
        <f>(+K115+O115+S115)</f>
        <v>0</v>
      </c>
      <c r="AJ115">
        <f>(+E115+G115+O115+Y115)</f>
        <v>0</v>
      </c>
      <c r="AK115">
        <f>(+I115+K115+O115+Q115+S115+W115)</f>
        <v>0</v>
      </c>
      <c r="AL115">
        <f>(+C115+E115+G115+K115+O115+Q115+W115)</f>
        <v>0</v>
      </c>
      <c r="AM115">
        <f>(+E115+K115+M115+O115+Q115)</f>
        <v>0</v>
      </c>
      <c r="AN115">
        <f>(+G115+I115+Q115+Y115)</f>
        <v>0</v>
      </c>
      <c r="AO115">
        <f>(+E115+G115+K115+O115+Q115)</f>
        <v>0</v>
      </c>
      <c r="AP115">
        <f>(+C115+E115+I115+K115+M115+O115+U115)</f>
        <v>0</v>
      </c>
      <c r="AV115" t="s">
        <v>22</v>
      </c>
      <c r="AW115">
        <v>42</v>
      </c>
      <c r="AX115">
        <v>24</v>
      </c>
      <c r="AY115">
        <v>37</v>
      </c>
      <c r="AZ115">
        <v>22</v>
      </c>
      <c r="BA115">
        <v>58</v>
      </c>
      <c r="BB115">
        <v>55</v>
      </c>
      <c r="BC115">
        <v>36</v>
      </c>
      <c r="BD115">
        <v>10</v>
      </c>
      <c r="BE115">
        <v>31</v>
      </c>
      <c r="BF115">
        <v>61</v>
      </c>
      <c r="BG115" t="s">
        <v>22</v>
      </c>
    </row>
    <row r="116" spans="1:59" x14ac:dyDescent="0.25">
      <c r="A116" t="s">
        <v>452</v>
      </c>
      <c r="B116" t="s">
        <v>453</v>
      </c>
      <c r="C116">
        <v>0</v>
      </c>
      <c r="D116" t="s">
        <v>454</v>
      </c>
      <c r="E116">
        <v>0</v>
      </c>
      <c r="F116" t="s">
        <v>351</v>
      </c>
      <c r="G116">
        <v>0</v>
      </c>
      <c r="H116" t="s">
        <v>455</v>
      </c>
      <c r="I116">
        <v>0</v>
      </c>
      <c r="J116" t="s">
        <v>456</v>
      </c>
      <c r="K116">
        <v>0</v>
      </c>
      <c r="L116" t="s">
        <v>278</v>
      </c>
      <c r="M116">
        <v>0</v>
      </c>
      <c r="N116" t="s">
        <v>328</v>
      </c>
      <c r="O116">
        <v>0</v>
      </c>
      <c r="P116" t="s">
        <v>457</v>
      </c>
      <c r="Q116">
        <v>0</v>
      </c>
      <c r="R116" t="s">
        <v>458</v>
      </c>
      <c r="S116">
        <v>0</v>
      </c>
      <c r="T116" t="s">
        <v>157</v>
      </c>
      <c r="U116">
        <v>0</v>
      </c>
      <c r="V116" t="s">
        <v>459</v>
      </c>
      <c r="W116">
        <v>0</v>
      </c>
      <c r="X116" t="s">
        <v>415</v>
      </c>
      <c r="Y116">
        <v>0</v>
      </c>
      <c r="AF116" t="s">
        <v>22</v>
      </c>
      <c r="AG116">
        <f>(+I116+K116+Q116+U116+W116+Y116)</f>
        <v>0</v>
      </c>
      <c r="AH116">
        <f>(+C116+K116+S116+U116)</f>
        <v>0</v>
      </c>
      <c r="AI116">
        <f>(+E116+K116+Q116+S116+U116+W116+Y116)</f>
        <v>0</v>
      </c>
      <c r="AJ116">
        <f>(+K116+S116+U116)</f>
        <v>0</v>
      </c>
      <c r="AK116">
        <f>(+I116+M116+Q116+S116+U116+W116)</f>
        <v>0</v>
      </c>
      <c r="AL116">
        <f>(+E116+K116+Q116+S116+W116+Y116)</f>
        <v>0</v>
      </c>
      <c r="AM116">
        <f>(+C116+E116+G116+K116+M116+O116+U116+W116+Y116)</f>
        <v>0</v>
      </c>
      <c r="AN116">
        <f>(+G116+Q116+S116+U116+Y116)</f>
        <v>0</v>
      </c>
      <c r="AO116">
        <f>(+C116+K116+Q116+S116+W116+Y116)</f>
        <v>0</v>
      </c>
      <c r="AP116">
        <f>(+E116+I116+K116+S116)</f>
        <v>0</v>
      </c>
      <c r="AV116" t="s">
        <v>22</v>
      </c>
      <c r="AW116">
        <v>186</v>
      </c>
      <c r="AX116">
        <v>51</v>
      </c>
      <c r="AY116">
        <v>198</v>
      </c>
      <c r="AZ116">
        <v>41</v>
      </c>
      <c r="BA116">
        <v>179</v>
      </c>
      <c r="BB116">
        <v>178</v>
      </c>
      <c r="BC116">
        <v>81</v>
      </c>
      <c r="BD116">
        <v>184</v>
      </c>
      <c r="BE116">
        <v>184</v>
      </c>
      <c r="BF116">
        <v>26</v>
      </c>
      <c r="BG116" t="s">
        <v>22</v>
      </c>
    </row>
    <row r="117" spans="1:59" x14ac:dyDescent="0.25">
      <c r="A117" t="s">
        <v>460</v>
      </c>
      <c r="B117" t="s">
        <v>152</v>
      </c>
      <c r="C117">
        <v>0</v>
      </c>
      <c r="D117" t="s">
        <v>306</v>
      </c>
      <c r="E117">
        <v>0</v>
      </c>
      <c r="F117" t="s">
        <v>461</v>
      </c>
      <c r="G117">
        <v>0</v>
      </c>
      <c r="H117" t="s">
        <v>238</v>
      </c>
      <c r="I117">
        <v>0</v>
      </c>
      <c r="J117" t="s">
        <v>380</v>
      </c>
      <c r="K117">
        <v>0</v>
      </c>
      <c r="L117" t="s">
        <v>38</v>
      </c>
      <c r="M117">
        <v>0</v>
      </c>
      <c r="N117" t="s">
        <v>21</v>
      </c>
      <c r="O117">
        <v>0</v>
      </c>
      <c r="P117" t="s">
        <v>113</v>
      </c>
      <c r="Q117">
        <v>0</v>
      </c>
      <c r="R117" t="s">
        <v>33</v>
      </c>
      <c r="S117">
        <v>0</v>
      </c>
      <c r="AF117" t="s">
        <v>22</v>
      </c>
      <c r="AG117">
        <f>(+C117+E117+G117+S117)</f>
        <v>0</v>
      </c>
      <c r="AH117">
        <f>(+C117+G117+I117+K117+M117+O117)</f>
        <v>0</v>
      </c>
      <c r="AI117">
        <f>(+C117+E117+I117+K117+O117+Q117+S117)</f>
        <v>0</v>
      </c>
      <c r="AJ117">
        <f>(+G117+K117+S117)</f>
        <v>0</v>
      </c>
      <c r="AK117">
        <f>(+C117+E117+I117+K117+S117)</f>
        <v>0</v>
      </c>
      <c r="AL117">
        <f>(+E117+G117+I117+K117+S117)</f>
        <v>0</v>
      </c>
      <c r="AM117">
        <f>(+E117+G117+I117+K117+Q117+S117)</f>
        <v>0</v>
      </c>
      <c r="AV117" t="s">
        <v>22</v>
      </c>
      <c r="AW117">
        <v>25</v>
      </c>
      <c r="AX117">
        <v>62</v>
      </c>
      <c r="AY117">
        <v>71</v>
      </c>
      <c r="AZ117">
        <v>10</v>
      </c>
      <c r="BA117">
        <v>53</v>
      </c>
      <c r="BB117">
        <v>46</v>
      </c>
      <c r="BC117">
        <v>52</v>
      </c>
      <c r="BD117" t="s">
        <v>22</v>
      </c>
    </row>
    <row r="118" spans="1:59" x14ac:dyDescent="0.25">
      <c r="A118" t="s">
        <v>462</v>
      </c>
      <c r="B118" t="s">
        <v>58</v>
      </c>
      <c r="C118">
        <v>0</v>
      </c>
      <c r="D118" t="s">
        <v>21</v>
      </c>
      <c r="E118">
        <v>0</v>
      </c>
      <c r="F118" t="s">
        <v>109</v>
      </c>
      <c r="G118">
        <v>0</v>
      </c>
      <c r="H118" t="s">
        <v>50</v>
      </c>
      <c r="I118">
        <v>0</v>
      </c>
      <c r="J118" t="s">
        <v>118</v>
      </c>
      <c r="K118">
        <v>0</v>
      </c>
      <c r="AF118" t="s">
        <v>22</v>
      </c>
      <c r="AG118">
        <f>(+G118)</f>
        <v>0</v>
      </c>
      <c r="AH118">
        <f>(+E118+G118+I118+K118)</f>
        <v>0</v>
      </c>
      <c r="AI118">
        <f>(+C118+E118+I118)</f>
        <v>0</v>
      </c>
      <c r="AJ118">
        <f>(+C118+I118+K118)</f>
        <v>0</v>
      </c>
      <c r="AK118">
        <f>(+C118+G118+K118)</f>
        <v>0</v>
      </c>
      <c r="AL118">
        <f>(+C118+G118)</f>
        <v>0</v>
      </c>
      <c r="AV118" t="s">
        <v>22</v>
      </c>
      <c r="AW118">
        <v>11</v>
      </c>
      <c r="AX118">
        <v>21</v>
      </c>
      <c r="AY118">
        <v>26</v>
      </c>
      <c r="AZ118">
        <v>22</v>
      </c>
      <c r="BA118">
        <v>29</v>
      </c>
      <c r="BB118">
        <v>28</v>
      </c>
      <c r="BC118" t="s">
        <v>22</v>
      </c>
    </row>
    <row r="119" spans="1:59" x14ac:dyDescent="0.25">
      <c r="A119" t="s">
        <v>463</v>
      </c>
      <c r="B119" t="s">
        <v>20</v>
      </c>
      <c r="C119">
        <v>0</v>
      </c>
      <c r="D119" t="s">
        <v>38</v>
      </c>
      <c r="E119">
        <v>0</v>
      </c>
      <c r="F119" t="s">
        <v>169</v>
      </c>
      <c r="G119">
        <v>0</v>
      </c>
      <c r="H119" t="s">
        <v>9</v>
      </c>
      <c r="I119">
        <v>0</v>
      </c>
      <c r="J119" t="s">
        <v>160</v>
      </c>
      <c r="K119">
        <v>0</v>
      </c>
      <c r="L119" t="s">
        <v>39</v>
      </c>
      <c r="M119">
        <v>0</v>
      </c>
      <c r="AF119" t="s">
        <v>22</v>
      </c>
      <c r="AG119">
        <f>(+C119+K119+M119)</f>
        <v>0</v>
      </c>
      <c r="AH119">
        <f>(+C119+E119+M119)</f>
        <v>0</v>
      </c>
      <c r="AI119">
        <f>(+C119+G119+I119)</f>
        <v>0</v>
      </c>
      <c r="AJ119">
        <f>(+G119+I119+M119)</f>
        <v>0</v>
      </c>
      <c r="AK119">
        <f>(+C119+G119+K119)</f>
        <v>0</v>
      </c>
      <c r="AL119">
        <f>(+C119+K119)</f>
        <v>0</v>
      </c>
      <c r="AV119" t="s">
        <v>22</v>
      </c>
      <c r="AW119">
        <v>48</v>
      </c>
      <c r="AX119">
        <v>36</v>
      </c>
      <c r="AY119">
        <v>38</v>
      </c>
      <c r="AZ119">
        <v>31</v>
      </c>
      <c r="BA119">
        <v>46</v>
      </c>
      <c r="BB119">
        <v>36</v>
      </c>
      <c r="BC119" t="s">
        <v>22</v>
      </c>
    </row>
    <row r="120" spans="1:59" x14ac:dyDescent="0.25">
      <c r="A120" t="s">
        <v>464</v>
      </c>
      <c r="B120" t="s">
        <v>137</v>
      </c>
      <c r="C120">
        <v>0</v>
      </c>
      <c r="D120" t="s">
        <v>27</v>
      </c>
      <c r="E120">
        <v>0</v>
      </c>
      <c r="F120" t="s">
        <v>28</v>
      </c>
      <c r="G120">
        <v>0</v>
      </c>
      <c r="H120" t="s">
        <v>38</v>
      </c>
      <c r="I120">
        <v>0</v>
      </c>
      <c r="J120" t="s">
        <v>193</v>
      </c>
      <c r="K120">
        <v>0</v>
      </c>
      <c r="L120" t="s">
        <v>109</v>
      </c>
      <c r="M120">
        <v>0</v>
      </c>
      <c r="AF120" t="s">
        <v>22</v>
      </c>
      <c r="AG120">
        <f>(+C120+E120+K120+M120)</f>
        <v>0</v>
      </c>
      <c r="AH120">
        <f>(+C120+E120+G120+I120+K120+M120)</f>
        <v>0</v>
      </c>
      <c r="AI120">
        <f>(+C120+E120)</f>
        <v>0</v>
      </c>
      <c r="AJ120">
        <f>(+C120+E120+G120+K120)</f>
        <v>0</v>
      </c>
      <c r="AK120">
        <f>(+C120+G120+K120+M120)</f>
        <v>0</v>
      </c>
      <c r="AL120">
        <f>(+C120+G120+K120+M120)</f>
        <v>0</v>
      </c>
      <c r="AM120">
        <f>(+C120)</f>
        <v>0</v>
      </c>
      <c r="AV120" t="s">
        <v>22</v>
      </c>
      <c r="AW120">
        <v>28</v>
      </c>
      <c r="AX120">
        <v>56</v>
      </c>
      <c r="AY120">
        <v>15</v>
      </c>
      <c r="AZ120">
        <v>39</v>
      </c>
      <c r="BA120">
        <v>33</v>
      </c>
      <c r="BB120">
        <v>33</v>
      </c>
      <c r="BC120">
        <v>0</v>
      </c>
      <c r="BD120" t="s">
        <v>22</v>
      </c>
    </row>
    <row r="121" spans="1:59" x14ac:dyDescent="0.25">
      <c r="A121" t="s">
        <v>465</v>
      </c>
      <c r="B121" t="s">
        <v>246</v>
      </c>
      <c r="C121">
        <v>0</v>
      </c>
      <c r="D121" t="s">
        <v>206</v>
      </c>
      <c r="E121">
        <v>0</v>
      </c>
      <c r="F121" t="s">
        <v>466</v>
      </c>
      <c r="G121">
        <v>0</v>
      </c>
      <c r="H121" t="s">
        <v>467</v>
      </c>
      <c r="I121">
        <v>0</v>
      </c>
      <c r="J121" t="s">
        <v>468</v>
      </c>
      <c r="K121">
        <v>0</v>
      </c>
      <c r="L121" t="s">
        <v>97</v>
      </c>
      <c r="M121">
        <v>0</v>
      </c>
      <c r="N121" t="s">
        <v>113</v>
      </c>
      <c r="O121">
        <v>0</v>
      </c>
      <c r="AF121" t="s">
        <v>22</v>
      </c>
      <c r="AG121">
        <f>(+C121+G121+I121+K121)</f>
        <v>0</v>
      </c>
      <c r="AH121">
        <f>(+E121+G121+I121+K121)</f>
        <v>0</v>
      </c>
      <c r="AI121">
        <f>(+C121+I121+M121+O121)</f>
        <v>0</v>
      </c>
      <c r="AJ121">
        <f>(+K121+M121)</f>
        <v>0</v>
      </c>
      <c r="AK121">
        <f>(+C121+K121)</f>
        <v>0</v>
      </c>
      <c r="AL121">
        <f>(+G121+I121+M121)</f>
        <v>0</v>
      </c>
      <c r="AM121">
        <f>(+C121+G121+I121+O121)</f>
        <v>0</v>
      </c>
      <c r="AN121">
        <f>(+E121+G121+I121+K121)</f>
        <v>0</v>
      </c>
      <c r="AO121">
        <f>(+E121+I121+K121)</f>
        <v>0</v>
      </c>
      <c r="AV121" t="s">
        <v>22</v>
      </c>
      <c r="AW121">
        <v>149</v>
      </c>
      <c r="AX121">
        <v>39</v>
      </c>
      <c r="AY121">
        <v>175</v>
      </c>
      <c r="AZ121">
        <v>29</v>
      </c>
      <c r="BA121">
        <v>137</v>
      </c>
      <c r="BB121">
        <v>32</v>
      </c>
      <c r="BC121">
        <v>157</v>
      </c>
      <c r="BD121">
        <v>39</v>
      </c>
      <c r="BE121">
        <v>37</v>
      </c>
      <c r="BF121" t="s">
        <v>22</v>
      </c>
    </row>
    <row r="122" spans="1:59" x14ac:dyDescent="0.25">
      <c r="A122" t="s">
        <v>469</v>
      </c>
      <c r="B122" t="s">
        <v>352</v>
      </c>
      <c r="C122">
        <v>0</v>
      </c>
      <c r="D122" t="s">
        <v>193</v>
      </c>
      <c r="E122">
        <v>0</v>
      </c>
      <c r="F122" t="s">
        <v>32</v>
      </c>
      <c r="G122">
        <v>0</v>
      </c>
      <c r="H122" t="s">
        <v>114</v>
      </c>
      <c r="I122">
        <v>0</v>
      </c>
      <c r="J122" t="s">
        <v>115</v>
      </c>
      <c r="K122">
        <v>0</v>
      </c>
      <c r="L122" t="s">
        <v>83</v>
      </c>
      <c r="M122">
        <v>0</v>
      </c>
      <c r="AF122" t="s">
        <v>22</v>
      </c>
      <c r="AG122">
        <f>(+E122+G122+I122)</f>
        <v>0</v>
      </c>
      <c r="AH122">
        <f>(+C122+E122+I122+K122)</f>
        <v>0</v>
      </c>
      <c r="AI122">
        <f>(+C122+I122)</f>
        <v>0</v>
      </c>
      <c r="AJ122">
        <f>(+E122+I122+M122)</f>
        <v>0</v>
      </c>
      <c r="AK122">
        <f>(+E122)</f>
        <v>0</v>
      </c>
      <c r="AL122">
        <f>(+E122+I122+K122+M122)</f>
        <v>0</v>
      </c>
      <c r="AM122">
        <f>(+G122+M122)</f>
        <v>0</v>
      </c>
      <c r="AN122">
        <f>(+C122)</f>
        <v>0</v>
      </c>
      <c r="AV122" t="s">
        <v>22</v>
      </c>
      <c r="AW122">
        <v>27</v>
      </c>
      <c r="AX122">
        <v>12</v>
      </c>
      <c r="AY122">
        <v>2</v>
      </c>
      <c r="AZ122">
        <v>12</v>
      </c>
      <c r="BA122">
        <v>6</v>
      </c>
      <c r="BB122">
        <v>16</v>
      </c>
      <c r="BC122">
        <v>25</v>
      </c>
      <c r="BD122">
        <v>1</v>
      </c>
      <c r="BE122" t="s">
        <v>22</v>
      </c>
    </row>
    <row r="123" spans="1:59" x14ac:dyDescent="0.25">
      <c r="A123" t="s">
        <v>470</v>
      </c>
      <c r="B123" t="s">
        <v>21</v>
      </c>
      <c r="C123">
        <v>0</v>
      </c>
      <c r="D123" t="s">
        <v>20</v>
      </c>
      <c r="E123">
        <v>0</v>
      </c>
      <c r="F123" t="s">
        <v>160</v>
      </c>
      <c r="G123">
        <v>0</v>
      </c>
      <c r="H123" t="s">
        <v>14</v>
      </c>
      <c r="I123">
        <v>0</v>
      </c>
      <c r="J123" t="s">
        <v>433</v>
      </c>
      <c r="K123">
        <v>0</v>
      </c>
      <c r="AF123" t="s">
        <v>22</v>
      </c>
      <c r="AG123">
        <f>(+E123+G123+I123+K123)</f>
        <v>0</v>
      </c>
      <c r="AH123">
        <f>(+C123+E123+K123)</f>
        <v>0</v>
      </c>
      <c r="AI123">
        <f>(+C123+E123)</f>
        <v>0</v>
      </c>
      <c r="AJ123">
        <f>(+K123)</f>
        <v>0</v>
      </c>
      <c r="AK123">
        <f>(+E123+G123+I123)</f>
        <v>0</v>
      </c>
      <c r="AL123">
        <f>(+E123+G123+K123)</f>
        <v>0</v>
      </c>
      <c r="AV123" t="s">
        <v>22</v>
      </c>
      <c r="AW123">
        <v>14</v>
      </c>
      <c r="AX123">
        <v>15</v>
      </c>
      <c r="AY123">
        <v>13</v>
      </c>
      <c r="AZ123">
        <v>2</v>
      </c>
      <c r="BA123">
        <v>12</v>
      </c>
      <c r="BB123">
        <v>12</v>
      </c>
      <c r="BC123" t="s">
        <v>22</v>
      </c>
    </row>
    <row r="124" spans="1:59" x14ac:dyDescent="0.25">
      <c r="A124" t="s">
        <v>471</v>
      </c>
      <c r="B124" t="s">
        <v>313</v>
      </c>
      <c r="C124">
        <v>0</v>
      </c>
      <c r="D124" t="s">
        <v>472</v>
      </c>
      <c r="E124">
        <v>0</v>
      </c>
      <c r="F124" t="s">
        <v>207</v>
      </c>
      <c r="G124">
        <v>0</v>
      </c>
      <c r="H124" t="s">
        <v>473</v>
      </c>
      <c r="I124">
        <v>0</v>
      </c>
      <c r="J124" t="s">
        <v>474</v>
      </c>
      <c r="K124">
        <v>0</v>
      </c>
      <c r="L124" t="s">
        <v>190</v>
      </c>
      <c r="M124">
        <v>0</v>
      </c>
      <c r="N124" t="s">
        <v>310</v>
      </c>
      <c r="O124">
        <v>0</v>
      </c>
      <c r="P124" t="s">
        <v>475</v>
      </c>
      <c r="Q124">
        <v>0</v>
      </c>
      <c r="AF124" t="s">
        <v>22</v>
      </c>
      <c r="AG124">
        <f>(+C124+E124+M124+Q124)</f>
        <v>0</v>
      </c>
      <c r="AH124">
        <f>(+G124+M124+O124+Q124)</f>
        <v>0</v>
      </c>
      <c r="AI124">
        <f>(+C124+O124+Q124)</f>
        <v>0</v>
      </c>
      <c r="AJ124">
        <f>(+E124+I124+M124+Q124)</f>
        <v>0</v>
      </c>
      <c r="AK124">
        <f>(+C124+K124+M124)</f>
        <v>0</v>
      </c>
      <c r="AL124">
        <f>(+C124+I124+O124+Q124)</f>
        <v>0</v>
      </c>
      <c r="AM124">
        <f>(+C124+G124+O124+Q124)</f>
        <v>0</v>
      </c>
      <c r="AN124">
        <f>(+C124+E124+I124+M124)</f>
        <v>0</v>
      </c>
      <c r="AO124">
        <f>(+C124+E124+K124+Q124)</f>
        <v>0</v>
      </c>
      <c r="AV124" t="s">
        <v>22</v>
      </c>
      <c r="AW124">
        <v>41</v>
      </c>
      <c r="AX124">
        <v>42</v>
      </c>
      <c r="AY124">
        <v>42</v>
      </c>
      <c r="AZ124">
        <v>178</v>
      </c>
      <c r="BA124">
        <v>23</v>
      </c>
      <c r="BB124">
        <v>195</v>
      </c>
      <c r="BC124">
        <v>51</v>
      </c>
      <c r="BD124">
        <v>179</v>
      </c>
      <c r="BE124">
        <v>34</v>
      </c>
      <c r="BF124" t="s">
        <v>22</v>
      </c>
    </row>
    <row r="125" spans="1:59" x14ac:dyDescent="0.25">
      <c r="A125" t="s">
        <v>476</v>
      </c>
      <c r="B125" t="s">
        <v>238</v>
      </c>
      <c r="C125">
        <v>0</v>
      </c>
      <c r="D125" t="s">
        <v>118</v>
      </c>
      <c r="E125">
        <v>0</v>
      </c>
      <c r="F125" t="s">
        <v>141</v>
      </c>
      <c r="G125">
        <v>0</v>
      </c>
      <c r="H125" t="s">
        <v>477</v>
      </c>
      <c r="I125">
        <v>0</v>
      </c>
      <c r="J125" t="s">
        <v>322</v>
      </c>
      <c r="K125">
        <v>0</v>
      </c>
      <c r="L125" t="s">
        <v>228</v>
      </c>
      <c r="M125">
        <v>0</v>
      </c>
      <c r="N125" t="s">
        <v>478</v>
      </c>
      <c r="O125">
        <v>0</v>
      </c>
      <c r="P125" t="s">
        <v>255</v>
      </c>
      <c r="Q125">
        <v>0</v>
      </c>
      <c r="R125" t="s">
        <v>479</v>
      </c>
      <c r="S125">
        <v>0</v>
      </c>
      <c r="AF125" t="s">
        <v>22</v>
      </c>
      <c r="AG125">
        <f>(+G125+O125)</f>
        <v>0</v>
      </c>
      <c r="AH125">
        <f>(+C125+E125+G125+I125+K125+Q125)</f>
        <v>0</v>
      </c>
      <c r="AI125">
        <f>(+C125+I125+O125+S125)</f>
        <v>0</v>
      </c>
      <c r="AJ125">
        <f>(+E125+G125+K125+O125+Q125)</f>
        <v>0</v>
      </c>
      <c r="AK125">
        <f>(+C125+E125+G125+M125+S125)</f>
        <v>0</v>
      </c>
      <c r="AL125">
        <f>(+C125+G125+I125+Q125)</f>
        <v>0</v>
      </c>
      <c r="AM125">
        <f>(+C125+S125)</f>
        <v>0</v>
      </c>
      <c r="AN125">
        <f>(+I125+M125+S125)</f>
        <v>0</v>
      </c>
      <c r="AO125">
        <f>(+G125+I125+K125+S125)</f>
        <v>0</v>
      </c>
      <c r="AP125">
        <f>(+O125+S125)</f>
        <v>0</v>
      </c>
      <c r="AV125" t="s">
        <v>22</v>
      </c>
      <c r="AW125">
        <v>15</v>
      </c>
      <c r="AX125">
        <v>53</v>
      </c>
      <c r="AY125">
        <v>44</v>
      </c>
      <c r="AZ125">
        <v>28</v>
      </c>
      <c r="BA125">
        <v>70</v>
      </c>
      <c r="BB125">
        <v>42</v>
      </c>
      <c r="BC125">
        <v>31</v>
      </c>
      <c r="BD125">
        <v>50</v>
      </c>
      <c r="BE125">
        <v>52</v>
      </c>
      <c r="BF125">
        <v>19</v>
      </c>
      <c r="BG125" t="s">
        <v>22</v>
      </c>
    </row>
    <row r="126" spans="1:59" x14ac:dyDescent="0.25">
      <c r="A126" t="s">
        <v>480</v>
      </c>
      <c r="B126" t="s">
        <v>39</v>
      </c>
      <c r="C126">
        <v>0</v>
      </c>
      <c r="D126" t="s">
        <v>44</v>
      </c>
      <c r="E126">
        <v>0</v>
      </c>
      <c r="F126" t="s">
        <v>47</v>
      </c>
      <c r="G126">
        <v>0</v>
      </c>
      <c r="H126" t="s">
        <v>24</v>
      </c>
      <c r="I126">
        <v>0</v>
      </c>
      <c r="J126" t="s">
        <v>182</v>
      </c>
      <c r="K126">
        <v>0</v>
      </c>
      <c r="L126" t="s">
        <v>481</v>
      </c>
      <c r="M126">
        <v>0</v>
      </c>
      <c r="N126" t="s">
        <v>310</v>
      </c>
      <c r="O126">
        <v>0</v>
      </c>
      <c r="AF126" t="s">
        <v>22</v>
      </c>
      <c r="AG126">
        <f>(+C126+G126+K126)</f>
        <v>0</v>
      </c>
      <c r="AH126">
        <f>(+C126+O126)</f>
        <v>0</v>
      </c>
      <c r="AI126">
        <f>(+I126+K126+O126)</f>
        <v>0</v>
      </c>
      <c r="AJ126">
        <f>(+C126+G126+K126+M126)</f>
        <v>0</v>
      </c>
      <c r="AK126">
        <f>(+E126+I126+K126)</f>
        <v>0</v>
      </c>
      <c r="AL126">
        <f>(+E126+M126+O126)</f>
        <v>0</v>
      </c>
      <c r="AM126">
        <f>(+M126+O126)</f>
        <v>0</v>
      </c>
      <c r="AN126">
        <f>(+K126+M126)</f>
        <v>0</v>
      </c>
      <c r="AV126" t="s">
        <v>22</v>
      </c>
      <c r="AW126">
        <v>14</v>
      </c>
      <c r="AX126">
        <v>16</v>
      </c>
      <c r="AY126">
        <v>25</v>
      </c>
      <c r="AZ126">
        <v>183</v>
      </c>
      <c r="BA126">
        <v>17</v>
      </c>
      <c r="BB126">
        <v>183</v>
      </c>
      <c r="BC126">
        <v>180</v>
      </c>
      <c r="BD126">
        <v>175</v>
      </c>
      <c r="BE126" t="s">
        <v>22</v>
      </c>
    </row>
    <row r="127" spans="1:59" x14ac:dyDescent="0.25">
      <c r="A127" t="s">
        <v>482</v>
      </c>
      <c r="B127" t="s">
        <v>202</v>
      </c>
      <c r="C127">
        <v>0</v>
      </c>
      <c r="D127" t="s">
        <v>250</v>
      </c>
      <c r="E127">
        <v>0</v>
      </c>
      <c r="F127" t="s">
        <v>483</v>
      </c>
      <c r="G127">
        <v>0</v>
      </c>
      <c r="H127" t="s">
        <v>484</v>
      </c>
      <c r="I127">
        <v>0</v>
      </c>
      <c r="J127" t="s">
        <v>485</v>
      </c>
      <c r="K127">
        <v>0</v>
      </c>
      <c r="L127" t="s">
        <v>486</v>
      </c>
      <c r="M127">
        <v>0</v>
      </c>
      <c r="N127" t="s">
        <v>487</v>
      </c>
      <c r="O127">
        <v>0</v>
      </c>
      <c r="P127" t="s">
        <v>441</v>
      </c>
      <c r="Q127">
        <v>0</v>
      </c>
      <c r="R127" t="s">
        <v>488</v>
      </c>
      <c r="S127">
        <v>0</v>
      </c>
      <c r="T127" t="s">
        <v>272</v>
      </c>
      <c r="U127">
        <v>0</v>
      </c>
      <c r="V127" t="s">
        <v>302</v>
      </c>
      <c r="W127">
        <v>0</v>
      </c>
      <c r="X127" t="s">
        <v>489</v>
      </c>
      <c r="Y127">
        <v>0</v>
      </c>
      <c r="AF127" t="s">
        <v>22</v>
      </c>
      <c r="AG127">
        <f>(+G127+M127+O127+Q127+U127)</f>
        <v>0</v>
      </c>
      <c r="AH127">
        <f>(+C127+E127+G127+K127+M127+O127)</f>
        <v>0</v>
      </c>
      <c r="AI127">
        <f>(+K127+M127+O127+Q127)</f>
        <v>0</v>
      </c>
      <c r="AJ127">
        <f>(+G127+I127+K127+O127+Q127+Y127)</f>
        <v>0</v>
      </c>
      <c r="AK127">
        <f>(+C127+G127+M127+O127+Y127)</f>
        <v>0</v>
      </c>
      <c r="AL127">
        <f>(+K127+M127+O127+Q127+W127+Y127)</f>
        <v>0</v>
      </c>
      <c r="AM127">
        <f>(+E127+Q127+S127+W127)</f>
        <v>0</v>
      </c>
      <c r="AN127">
        <f>(+E127+K127+M127+Q127+S127+Y127)</f>
        <v>0</v>
      </c>
      <c r="AO127">
        <f>(+M127+O127+S127+U127+Y127)</f>
        <v>0</v>
      </c>
      <c r="AP127">
        <f>(+G127+I127+M127+O127+S127)</f>
        <v>0</v>
      </c>
      <c r="AV127" t="s">
        <v>22</v>
      </c>
      <c r="AW127">
        <v>48</v>
      </c>
      <c r="AX127">
        <v>50</v>
      </c>
      <c r="AY127">
        <v>42</v>
      </c>
      <c r="AZ127">
        <v>60</v>
      </c>
      <c r="BA127">
        <v>44</v>
      </c>
      <c r="BB127">
        <v>58</v>
      </c>
      <c r="BC127">
        <v>49</v>
      </c>
      <c r="BD127">
        <v>73</v>
      </c>
      <c r="BE127">
        <v>52</v>
      </c>
      <c r="BF127">
        <v>60</v>
      </c>
      <c r="BG127" t="s">
        <v>22</v>
      </c>
    </row>
    <row r="128" spans="1:59" x14ac:dyDescent="0.25">
      <c r="A128" t="s">
        <v>490</v>
      </c>
      <c r="B128" t="s">
        <v>50</v>
      </c>
      <c r="C128">
        <v>0</v>
      </c>
      <c r="D128" t="s">
        <v>40</v>
      </c>
      <c r="E128">
        <v>0</v>
      </c>
      <c r="F128" t="s">
        <v>118</v>
      </c>
      <c r="G128">
        <v>0</v>
      </c>
      <c r="H128" t="s">
        <v>47</v>
      </c>
      <c r="I128">
        <v>0</v>
      </c>
      <c r="J128" t="s">
        <v>43</v>
      </c>
      <c r="K128">
        <v>0</v>
      </c>
      <c r="L128" t="s">
        <v>9</v>
      </c>
      <c r="M128">
        <v>0</v>
      </c>
      <c r="AF128" t="s">
        <v>22</v>
      </c>
      <c r="AG128">
        <f>(+E128+I128)</f>
        <v>0</v>
      </c>
      <c r="AH128">
        <f>(+C128+G128)</f>
        <v>0</v>
      </c>
      <c r="AI128">
        <f>(+C128+E128+K128+M128)</f>
        <v>0</v>
      </c>
      <c r="AJ128">
        <f>(+C128+E128+G128+I128+M128)</f>
        <v>0</v>
      </c>
      <c r="AK128">
        <f>(+G128+K128)</f>
        <v>0</v>
      </c>
      <c r="AL128">
        <f>(+K128)</f>
        <v>0</v>
      </c>
      <c r="AV128" t="s">
        <v>22</v>
      </c>
      <c r="AW128">
        <v>209</v>
      </c>
      <c r="AX128">
        <v>20</v>
      </c>
      <c r="AY128">
        <v>233</v>
      </c>
      <c r="AZ128">
        <v>241</v>
      </c>
      <c r="BA128">
        <v>20</v>
      </c>
      <c r="BB128">
        <v>15</v>
      </c>
      <c r="BC128" t="s">
        <v>22</v>
      </c>
    </row>
    <row r="129" spans="1:59" x14ac:dyDescent="0.25">
      <c r="A129" t="s">
        <v>491</v>
      </c>
      <c r="B129" t="s">
        <v>33</v>
      </c>
      <c r="C129">
        <v>0</v>
      </c>
      <c r="D129" t="s">
        <v>38</v>
      </c>
      <c r="E129">
        <v>0</v>
      </c>
      <c r="F129" t="s">
        <v>251</v>
      </c>
      <c r="G129">
        <v>0</v>
      </c>
      <c r="H129" t="s">
        <v>45</v>
      </c>
      <c r="I129">
        <v>0</v>
      </c>
      <c r="J129" t="s">
        <v>207</v>
      </c>
      <c r="K129">
        <v>0</v>
      </c>
      <c r="L129" t="s">
        <v>50</v>
      </c>
      <c r="M129">
        <v>0</v>
      </c>
      <c r="N129" t="s">
        <v>81</v>
      </c>
      <c r="O129">
        <v>0</v>
      </c>
      <c r="AF129" t="s">
        <v>22</v>
      </c>
      <c r="AG129">
        <f>(+C129+I129+O129)</f>
        <v>0</v>
      </c>
      <c r="AH129">
        <f>(+E129+K129+M129+O129)</f>
        <v>0</v>
      </c>
      <c r="AI129">
        <f>(+C129+M129+O129)</f>
        <v>0</v>
      </c>
      <c r="AJ129">
        <f>(+C129+G129+M129+O129)</f>
        <v>0</v>
      </c>
      <c r="AK129">
        <f>(+C129+O129)</f>
        <v>0</v>
      </c>
      <c r="AL129">
        <f>(+C129+I129)</f>
        <v>0</v>
      </c>
      <c r="AM129">
        <f>(+C129+K129)</f>
        <v>0</v>
      </c>
      <c r="AN129">
        <f>(+G129+O129)</f>
        <v>0</v>
      </c>
      <c r="AV129" t="s">
        <v>22</v>
      </c>
      <c r="AW129">
        <v>25</v>
      </c>
      <c r="AX129">
        <v>28</v>
      </c>
      <c r="AY129">
        <v>20</v>
      </c>
      <c r="AZ129">
        <v>34</v>
      </c>
      <c r="BA129">
        <v>10</v>
      </c>
      <c r="BB129">
        <v>23</v>
      </c>
      <c r="BC129">
        <v>16</v>
      </c>
      <c r="BD129">
        <v>16</v>
      </c>
      <c r="BE129" t="s">
        <v>22</v>
      </c>
    </row>
    <row r="130" spans="1:59" x14ac:dyDescent="0.25">
      <c r="A130" t="s">
        <v>492</v>
      </c>
      <c r="B130" t="s">
        <v>384</v>
      </c>
      <c r="C130">
        <v>0</v>
      </c>
      <c r="D130" t="s">
        <v>377</v>
      </c>
      <c r="E130">
        <v>0</v>
      </c>
      <c r="F130" t="s">
        <v>8</v>
      </c>
      <c r="G130">
        <v>0</v>
      </c>
      <c r="H130" t="s">
        <v>493</v>
      </c>
      <c r="I130">
        <v>0</v>
      </c>
      <c r="J130" t="s">
        <v>494</v>
      </c>
      <c r="K130">
        <v>0</v>
      </c>
      <c r="L130" t="s">
        <v>495</v>
      </c>
      <c r="M130">
        <v>0</v>
      </c>
      <c r="N130" t="s">
        <v>423</v>
      </c>
      <c r="O130">
        <v>0</v>
      </c>
      <c r="P130" t="s">
        <v>94</v>
      </c>
      <c r="Q130">
        <v>0</v>
      </c>
      <c r="AF130" t="s">
        <v>22</v>
      </c>
      <c r="AG130">
        <f>(+C130+E130+K130+M130)</f>
        <v>0</v>
      </c>
      <c r="AH130">
        <f>(+C130+E130+K130)</f>
        <v>0</v>
      </c>
      <c r="AI130">
        <f>(+G130+I130+K130+Q130)</f>
        <v>0</v>
      </c>
      <c r="AJ130">
        <f>(+I130+M130+Q130)</f>
        <v>0</v>
      </c>
      <c r="AK130">
        <f>(+C130+E130+M130+Q130)</f>
        <v>0</v>
      </c>
      <c r="AL130">
        <f>(+C130+I130+M130+O130+Q130)</f>
        <v>0</v>
      </c>
      <c r="AM130">
        <f>(+C130+E130+K130+M130+Q130)</f>
        <v>0</v>
      </c>
      <c r="AN130">
        <f>(+C130+K130+M130+Q130)</f>
        <v>0</v>
      </c>
      <c r="AO130">
        <f>(+C130+E130+I130+K130+M130+Q130)</f>
        <v>0</v>
      </c>
      <c r="AV130" t="s">
        <v>22</v>
      </c>
      <c r="AW130">
        <v>26</v>
      </c>
      <c r="AX130">
        <v>21</v>
      </c>
      <c r="AY130">
        <v>37</v>
      </c>
      <c r="AZ130">
        <v>25</v>
      </c>
      <c r="BA130">
        <v>44</v>
      </c>
      <c r="BB130">
        <v>62</v>
      </c>
      <c r="BC130">
        <v>45</v>
      </c>
      <c r="BD130">
        <v>45</v>
      </c>
      <c r="BE130">
        <v>46</v>
      </c>
      <c r="BF130" t="s">
        <v>22</v>
      </c>
    </row>
    <row r="131" spans="1:59" x14ac:dyDescent="0.25">
      <c r="A131" t="s">
        <v>496</v>
      </c>
      <c r="B131" t="s">
        <v>143</v>
      </c>
      <c r="C131">
        <v>0</v>
      </c>
      <c r="D131" t="s">
        <v>113</v>
      </c>
      <c r="E131">
        <v>0</v>
      </c>
      <c r="F131" t="s">
        <v>497</v>
      </c>
      <c r="G131">
        <v>0</v>
      </c>
      <c r="H131" t="s">
        <v>58</v>
      </c>
      <c r="I131">
        <v>0</v>
      </c>
      <c r="J131" t="s">
        <v>33</v>
      </c>
      <c r="K131">
        <v>0</v>
      </c>
      <c r="L131" t="s">
        <v>498</v>
      </c>
      <c r="M131">
        <v>0</v>
      </c>
      <c r="N131" t="s">
        <v>499</v>
      </c>
      <c r="O131">
        <v>0</v>
      </c>
      <c r="P131" t="s">
        <v>50</v>
      </c>
      <c r="Q131">
        <v>0</v>
      </c>
      <c r="AF131" t="s">
        <v>22</v>
      </c>
      <c r="AG131">
        <f>(+C131+G131+K131+O131)</f>
        <v>0</v>
      </c>
      <c r="AH131">
        <f>(+G131+M131+O131+Q131)</f>
        <v>0</v>
      </c>
      <c r="AI131">
        <f>(+C131+E131+G131+I131+K131+M131+Q131)</f>
        <v>0</v>
      </c>
      <c r="AJ131">
        <f>(+C131+I131+K131+M131+O131+Q131)</f>
        <v>0</v>
      </c>
      <c r="AK131">
        <f>(+C131+G131+I131+K131+M131+O131)</f>
        <v>0</v>
      </c>
      <c r="AL131">
        <f>(+I131+K131)</f>
        <v>0</v>
      </c>
      <c r="AM131">
        <f>(+C131+E131+G131+K131+M131+O131)</f>
        <v>0</v>
      </c>
      <c r="AN131">
        <f>(+C131+G131+M131)</f>
        <v>0</v>
      </c>
      <c r="AV131" t="s">
        <v>22</v>
      </c>
      <c r="AW131">
        <v>44</v>
      </c>
      <c r="AX131">
        <v>49</v>
      </c>
      <c r="AY131">
        <v>74</v>
      </c>
      <c r="AZ131">
        <v>76</v>
      </c>
      <c r="BA131">
        <v>73</v>
      </c>
      <c r="BB131">
        <v>30</v>
      </c>
      <c r="BC131">
        <v>73</v>
      </c>
      <c r="BD131">
        <v>24</v>
      </c>
      <c r="BE131" t="s">
        <v>22</v>
      </c>
    </row>
    <row r="132" spans="1:59" x14ac:dyDescent="0.25">
      <c r="A132" t="s">
        <v>500</v>
      </c>
      <c r="B132" t="s">
        <v>21</v>
      </c>
      <c r="C132">
        <v>0</v>
      </c>
      <c r="D132" t="s">
        <v>119</v>
      </c>
      <c r="E132">
        <v>0</v>
      </c>
      <c r="F132" t="s">
        <v>169</v>
      </c>
      <c r="G132">
        <v>0</v>
      </c>
      <c r="H132" t="s">
        <v>44</v>
      </c>
      <c r="I132">
        <v>0</v>
      </c>
      <c r="J132" t="s">
        <v>245</v>
      </c>
      <c r="K132">
        <v>0</v>
      </c>
      <c r="L132" t="s">
        <v>27</v>
      </c>
      <c r="M132">
        <v>0</v>
      </c>
      <c r="AF132" t="s">
        <v>22</v>
      </c>
      <c r="AG132">
        <f>(+K132+M132)</f>
        <v>0</v>
      </c>
      <c r="AH132">
        <f>(+C132+M132)</f>
        <v>0</v>
      </c>
      <c r="AI132">
        <f>(+C132+G132+K132+M132)</f>
        <v>0</v>
      </c>
      <c r="AJ132">
        <f>(+E132+G132+M132)</f>
        <v>0</v>
      </c>
      <c r="AK132">
        <f>(+E132+G132+I132)</f>
        <v>0</v>
      </c>
      <c r="AL132">
        <f>(+E132+I132+K132)</f>
        <v>0</v>
      </c>
      <c r="AV132" t="s">
        <v>22</v>
      </c>
      <c r="AW132">
        <v>25</v>
      </c>
      <c r="AX132">
        <v>31</v>
      </c>
      <c r="AY132">
        <v>57</v>
      </c>
      <c r="AZ132">
        <v>38</v>
      </c>
      <c r="BA132">
        <v>32</v>
      </c>
      <c r="BB132">
        <v>30</v>
      </c>
      <c r="BC132" t="s">
        <v>22</v>
      </c>
    </row>
    <row r="133" spans="1:59" x14ac:dyDescent="0.25">
      <c r="A133" t="s">
        <v>501</v>
      </c>
      <c r="B133" t="s">
        <v>25</v>
      </c>
      <c r="C133">
        <v>0</v>
      </c>
      <c r="D133" t="s">
        <v>282</v>
      </c>
      <c r="E133">
        <v>0</v>
      </c>
      <c r="F133" t="s">
        <v>502</v>
      </c>
      <c r="G133">
        <v>0</v>
      </c>
      <c r="H133" t="s">
        <v>125</v>
      </c>
      <c r="I133">
        <v>0</v>
      </c>
      <c r="J133" t="s">
        <v>33</v>
      </c>
      <c r="K133">
        <v>0</v>
      </c>
      <c r="L133" t="s">
        <v>104</v>
      </c>
      <c r="M133">
        <v>0</v>
      </c>
      <c r="AF133" t="s">
        <v>22</v>
      </c>
      <c r="AG133">
        <f>(+G133+I133+K133+M133)</f>
        <v>0</v>
      </c>
      <c r="AH133">
        <f>(+E133+G133+I133)</f>
        <v>0</v>
      </c>
      <c r="AI133">
        <f>(+G133+I133+K133)</f>
        <v>0</v>
      </c>
      <c r="AJ133">
        <f>(+C133+G133+K133)</f>
        <v>0</v>
      </c>
      <c r="AK133">
        <f>(+C133+E133+G133+I133+K133+M133)</f>
        <v>0</v>
      </c>
      <c r="AL133">
        <f>(+E133+G133+I133+K133)</f>
        <v>0</v>
      </c>
      <c r="AM133">
        <f>(+E133+K133+M133)</f>
        <v>0</v>
      </c>
      <c r="AN133">
        <f>(+G133+I133+M133)</f>
        <v>0</v>
      </c>
      <c r="AV133" t="s">
        <v>22</v>
      </c>
      <c r="AW133">
        <v>29</v>
      </c>
      <c r="AX133">
        <v>40</v>
      </c>
      <c r="AY133">
        <v>24</v>
      </c>
      <c r="AZ133">
        <v>30</v>
      </c>
      <c r="BA133">
        <v>61</v>
      </c>
      <c r="BB133">
        <v>42</v>
      </c>
      <c r="BC133">
        <v>25</v>
      </c>
      <c r="BD133">
        <v>27</v>
      </c>
      <c r="BE133" t="s">
        <v>22</v>
      </c>
    </row>
    <row r="134" spans="1:59" x14ac:dyDescent="0.25">
      <c r="A134" t="s">
        <v>503</v>
      </c>
      <c r="B134" t="s">
        <v>40</v>
      </c>
      <c r="C134">
        <v>0</v>
      </c>
      <c r="D134" t="s">
        <v>10</v>
      </c>
      <c r="E134">
        <v>0</v>
      </c>
      <c r="F134" t="s">
        <v>47</v>
      </c>
      <c r="G134">
        <v>0</v>
      </c>
      <c r="H134" t="s">
        <v>21</v>
      </c>
      <c r="I134">
        <v>0</v>
      </c>
      <c r="AF134" t="s">
        <v>22</v>
      </c>
      <c r="AG134">
        <f>(+C134+E134+G134)</f>
        <v>0</v>
      </c>
      <c r="AH134">
        <f>(+I134)</f>
        <v>0</v>
      </c>
      <c r="AI134">
        <f>(+C134+E134+I134)</f>
        <v>0</v>
      </c>
      <c r="AJ134">
        <f>(+C134+G134)</f>
        <v>0</v>
      </c>
      <c r="AV134" t="s">
        <v>22</v>
      </c>
      <c r="AW134">
        <v>28</v>
      </c>
      <c r="AX134">
        <v>6</v>
      </c>
      <c r="AY134">
        <v>21</v>
      </c>
      <c r="AZ134">
        <v>13</v>
      </c>
      <c r="BA134" t="s">
        <v>22</v>
      </c>
    </row>
    <row r="135" spans="1:59" x14ac:dyDescent="0.25">
      <c r="A135" t="s">
        <v>504</v>
      </c>
      <c r="B135" t="s">
        <v>10</v>
      </c>
      <c r="C135">
        <v>0</v>
      </c>
      <c r="D135" t="s">
        <v>11</v>
      </c>
      <c r="E135">
        <v>0</v>
      </c>
      <c r="F135" t="s">
        <v>21</v>
      </c>
      <c r="G135">
        <v>0</v>
      </c>
      <c r="H135" t="s">
        <v>47</v>
      </c>
      <c r="I135">
        <v>0</v>
      </c>
      <c r="J135" t="s">
        <v>8</v>
      </c>
      <c r="K135">
        <v>0</v>
      </c>
      <c r="L135" t="s">
        <v>38</v>
      </c>
      <c r="M135">
        <v>0</v>
      </c>
      <c r="AF135" t="s">
        <v>22</v>
      </c>
      <c r="AG135">
        <f>(+C135+E135+I135)</f>
        <v>0</v>
      </c>
      <c r="AH135">
        <f>(+E135+G135+M135)</f>
        <v>0</v>
      </c>
      <c r="AI135">
        <f>(+C135+G135+K135)</f>
        <v>0</v>
      </c>
      <c r="AJ135">
        <f>(+I135)</f>
        <v>0</v>
      </c>
      <c r="AV135" t="s">
        <v>22</v>
      </c>
      <c r="AW135">
        <v>44</v>
      </c>
      <c r="AX135">
        <v>39</v>
      </c>
      <c r="AY135">
        <v>28</v>
      </c>
      <c r="AZ135">
        <v>18</v>
      </c>
      <c r="BA135" t="s">
        <v>22</v>
      </c>
    </row>
    <row r="136" spans="1:59" x14ac:dyDescent="0.25">
      <c r="A136" t="s">
        <v>505</v>
      </c>
      <c r="B136" t="s">
        <v>39</v>
      </c>
      <c r="C136">
        <v>0</v>
      </c>
      <c r="D136" t="s">
        <v>128</v>
      </c>
      <c r="E136">
        <v>0</v>
      </c>
      <c r="F136" t="s">
        <v>16</v>
      </c>
      <c r="G136">
        <v>0</v>
      </c>
      <c r="AF136" t="s">
        <v>22</v>
      </c>
      <c r="AG136">
        <f>(+C136+E136)</f>
        <v>0</v>
      </c>
      <c r="AH136">
        <f>(+C136+E136+G136)</f>
        <v>0</v>
      </c>
      <c r="AI136">
        <f>(+G136)</f>
        <v>0</v>
      </c>
      <c r="AJ136">
        <f>(+C136+G136)</f>
        <v>0</v>
      </c>
      <c r="AK136">
        <f>(+E136+G136)</f>
        <v>0</v>
      </c>
      <c r="AV136" t="s">
        <v>22</v>
      </c>
      <c r="AW136">
        <v>11</v>
      </c>
      <c r="AX136">
        <v>17</v>
      </c>
      <c r="AY136">
        <v>6</v>
      </c>
      <c r="AZ136">
        <v>15</v>
      </c>
      <c r="BA136">
        <v>8</v>
      </c>
      <c r="BB136" t="s">
        <v>22</v>
      </c>
    </row>
    <row r="137" spans="1:59" x14ac:dyDescent="0.25">
      <c r="A137" t="s">
        <v>506</v>
      </c>
      <c r="B137" t="s">
        <v>507</v>
      </c>
      <c r="C137">
        <v>0</v>
      </c>
      <c r="D137" t="s">
        <v>508</v>
      </c>
      <c r="E137">
        <v>0</v>
      </c>
      <c r="F137" t="s">
        <v>509</v>
      </c>
      <c r="G137">
        <v>0</v>
      </c>
      <c r="H137" t="s">
        <v>510</v>
      </c>
      <c r="I137">
        <v>0</v>
      </c>
      <c r="J137" t="s">
        <v>82</v>
      </c>
      <c r="K137">
        <v>0</v>
      </c>
      <c r="L137" t="s">
        <v>61</v>
      </c>
      <c r="M137">
        <v>0</v>
      </c>
      <c r="N137" t="s">
        <v>511</v>
      </c>
      <c r="O137">
        <v>0</v>
      </c>
      <c r="P137" t="s">
        <v>230</v>
      </c>
      <c r="Q137">
        <v>0</v>
      </c>
      <c r="R137" t="s">
        <v>134</v>
      </c>
      <c r="S137">
        <v>0</v>
      </c>
      <c r="T137" t="s">
        <v>216</v>
      </c>
      <c r="U137">
        <v>0</v>
      </c>
      <c r="V137" t="s">
        <v>512</v>
      </c>
      <c r="W137">
        <v>0</v>
      </c>
      <c r="AF137" t="s">
        <v>22</v>
      </c>
      <c r="AG137">
        <f>(+E137+I137+O137+U137+W137)</f>
        <v>0</v>
      </c>
      <c r="AH137">
        <f>(+E137+G137+I137+M137+O137+W137)</f>
        <v>0</v>
      </c>
      <c r="AI137">
        <f>(+E137+M137+S137+U137+W137)</f>
        <v>0</v>
      </c>
      <c r="AJ137">
        <f>(+G137+I137+K137+M137+Q137+W137)</f>
        <v>0</v>
      </c>
      <c r="AK137">
        <f>(+C137+G137+K137+O137+U137)</f>
        <v>0</v>
      </c>
      <c r="AL137">
        <f>(+E137+G137+I137+M137+O137+S137+W137)</f>
        <v>0</v>
      </c>
      <c r="AM137">
        <f>(+E137+G137+I137+M137+O137+Q137+S137+U137)</f>
        <v>0</v>
      </c>
      <c r="AN137">
        <f>(+E137+I137+K137+M137+O137+W137)</f>
        <v>0</v>
      </c>
      <c r="AO137">
        <f>(+E137+G137+I137+M137+O137+U137)</f>
        <v>0</v>
      </c>
      <c r="AP137">
        <f>(+C137+E137+G137+M137+O137+W137)</f>
        <v>0</v>
      </c>
      <c r="AV137" t="s">
        <v>22</v>
      </c>
      <c r="AW137">
        <v>41</v>
      </c>
      <c r="AX137">
        <v>39</v>
      </c>
      <c r="AY137">
        <v>38</v>
      </c>
      <c r="AZ137">
        <v>36</v>
      </c>
      <c r="BA137">
        <v>51</v>
      </c>
      <c r="BB137">
        <v>46</v>
      </c>
      <c r="BC137">
        <v>59</v>
      </c>
      <c r="BD137">
        <v>43</v>
      </c>
      <c r="BE137">
        <v>42</v>
      </c>
      <c r="BF137">
        <v>52</v>
      </c>
      <c r="BG137" t="s">
        <v>22</v>
      </c>
    </row>
    <row r="138" spans="1:59" x14ac:dyDescent="0.25">
      <c r="A138" t="s">
        <v>513</v>
      </c>
      <c r="B138" t="s">
        <v>316</v>
      </c>
      <c r="C138">
        <v>0</v>
      </c>
      <c r="D138" t="s">
        <v>514</v>
      </c>
      <c r="E138">
        <v>0</v>
      </c>
      <c r="F138" t="s">
        <v>109</v>
      </c>
      <c r="G138">
        <v>0</v>
      </c>
      <c r="H138" t="s">
        <v>515</v>
      </c>
      <c r="I138">
        <v>0</v>
      </c>
      <c r="J138" t="s">
        <v>516</v>
      </c>
      <c r="K138">
        <v>0</v>
      </c>
      <c r="L138" t="s">
        <v>517</v>
      </c>
      <c r="M138">
        <v>0</v>
      </c>
      <c r="N138" t="s">
        <v>282</v>
      </c>
      <c r="O138">
        <v>0</v>
      </c>
      <c r="P138" t="s">
        <v>206</v>
      </c>
      <c r="Q138">
        <v>0</v>
      </c>
      <c r="R138" t="s">
        <v>237</v>
      </c>
      <c r="S138">
        <v>0</v>
      </c>
      <c r="AF138" t="s">
        <v>22</v>
      </c>
      <c r="AG138">
        <f>(+C138+E138+G138+I138)</f>
        <v>0</v>
      </c>
      <c r="AH138">
        <f>(+C138+E138+G138+M138+O138+Q138)</f>
        <v>0</v>
      </c>
      <c r="AI138">
        <f>(+C138+E138+K138+M138)</f>
        <v>0</v>
      </c>
      <c r="AJ138">
        <f>(+K138)</f>
        <v>0</v>
      </c>
      <c r="AK138">
        <f>(+C138+E138+G138+K138+O138+S138)</f>
        <v>0</v>
      </c>
      <c r="AL138">
        <f>(+C138+G138+I138+K138+O138+S138)</f>
        <v>0</v>
      </c>
      <c r="AM138">
        <f>(+C138+E138+I138+O138+S138)</f>
        <v>0</v>
      </c>
      <c r="AN138">
        <f>(+C138+I138+K138+Q138)</f>
        <v>0</v>
      </c>
      <c r="AO138">
        <f>(+C138+E138+I138+M138+Q138)</f>
        <v>0</v>
      </c>
      <c r="AP138">
        <f>(+C138+I138+K138+M138)</f>
        <v>0</v>
      </c>
      <c r="AV138" t="s">
        <v>22</v>
      </c>
      <c r="AW138">
        <v>44</v>
      </c>
      <c r="AX138">
        <v>46</v>
      </c>
      <c r="AY138">
        <v>38</v>
      </c>
      <c r="AZ138">
        <v>20</v>
      </c>
      <c r="BA138">
        <v>77</v>
      </c>
      <c r="BB138">
        <v>86</v>
      </c>
      <c r="BC138">
        <v>61</v>
      </c>
      <c r="BD138">
        <v>44</v>
      </c>
      <c r="BE138">
        <v>39</v>
      </c>
      <c r="BF138">
        <v>47</v>
      </c>
      <c r="BG138" t="s">
        <v>22</v>
      </c>
    </row>
    <row r="139" spans="1:59" x14ac:dyDescent="0.25">
      <c r="A139" t="s">
        <v>518</v>
      </c>
      <c r="B139" t="s">
        <v>39</v>
      </c>
      <c r="C139">
        <v>0</v>
      </c>
      <c r="D139" t="s">
        <v>7</v>
      </c>
      <c r="E139">
        <v>0</v>
      </c>
      <c r="F139" t="s">
        <v>6</v>
      </c>
      <c r="G139">
        <v>0</v>
      </c>
      <c r="H139" t="s">
        <v>11</v>
      </c>
      <c r="I139">
        <v>0</v>
      </c>
      <c r="J139" t="s">
        <v>10</v>
      </c>
      <c r="K139">
        <v>0</v>
      </c>
      <c r="L139" t="s">
        <v>40</v>
      </c>
      <c r="M139">
        <v>0</v>
      </c>
      <c r="AF139" t="s">
        <v>22</v>
      </c>
      <c r="AG139">
        <f>(+C139+I139+K139+M139)</f>
        <v>0</v>
      </c>
      <c r="AH139">
        <f>(+C139+E139+I139)</f>
        <v>0</v>
      </c>
      <c r="AI139">
        <f>(+K139+M139)</f>
        <v>0</v>
      </c>
      <c r="AJ139">
        <f>(+C139+E139+G139+M139)</f>
        <v>0</v>
      </c>
      <c r="AV139" t="s">
        <v>22</v>
      </c>
      <c r="AW139">
        <v>22</v>
      </c>
      <c r="AX139">
        <v>16</v>
      </c>
      <c r="AY139">
        <v>19</v>
      </c>
      <c r="AZ139">
        <v>32</v>
      </c>
      <c r="BA139" t="s">
        <v>22</v>
      </c>
    </row>
    <row r="140" spans="1:59" x14ac:dyDescent="0.25">
      <c r="A140" t="s">
        <v>519</v>
      </c>
      <c r="B140" t="s">
        <v>520</v>
      </c>
      <c r="C140">
        <v>0</v>
      </c>
      <c r="D140" t="s">
        <v>197</v>
      </c>
      <c r="E140">
        <v>0</v>
      </c>
      <c r="F140" t="s">
        <v>123</v>
      </c>
      <c r="G140">
        <v>0</v>
      </c>
      <c r="H140" t="s">
        <v>7</v>
      </c>
      <c r="I140">
        <v>0</v>
      </c>
      <c r="J140" t="s">
        <v>248</v>
      </c>
      <c r="K140">
        <v>0</v>
      </c>
      <c r="L140" t="s">
        <v>325</v>
      </c>
      <c r="M140">
        <v>0</v>
      </c>
      <c r="N140" t="s">
        <v>413</v>
      </c>
      <c r="O140">
        <v>0</v>
      </c>
      <c r="P140" t="s">
        <v>358</v>
      </c>
      <c r="Q140">
        <v>0</v>
      </c>
      <c r="AF140" t="s">
        <v>22</v>
      </c>
      <c r="AG140">
        <f>(+C140+E140+K140+M140)</f>
        <v>0</v>
      </c>
      <c r="AH140">
        <f>(+G140+I140+K140+M140+O140+Q140)</f>
        <v>0</v>
      </c>
      <c r="AI140">
        <f>(+C140+E140+K140+O140)</f>
        <v>0</v>
      </c>
      <c r="AJ140">
        <f>(+C140+E140+I140+K140+M140+O140)</f>
        <v>0</v>
      </c>
      <c r="AK140">
        <f>(+C140+G140+K140+M140+O140)</f>
        <v>0</v>
      </c>
      <c r="AL140">
        <f>(+M140+O140+Q140)</f>
        <v>0</v>
      </c>
      <c r="AM140">
        <f>(+C140+K140+M140+O140+Q140)</f>
        <v>0</v>
      </c>
      <c r="AN140">
        <f>(+C140+E140+G140+K140+Q140)</f>
        <v>0</v>
      </c>
      <c r="AO140">
        <f>(+C140+K140+M140+O140)</f>
        <v>0</v>
      </c>
      <c r="AV140" t="s">
        <v>22</v>
      </c>
      <c r="AW140">
        <v>43</v>
      </c>
      <c r="AX140">
        <v>73</v>
      </c>
      <c r="AY140">
        <v>44</v>
      </c>
      <c r="AZ140">
        <v>66</v>
      </c>
      <c r="BA140">
        <v>59</v>
      </c>
      <c r="BB140">
        <v>45</v>
      </c>
      <c r="BC140">
        <v>74</v>
      </c>
      <c r="BD140">
        <v>56</v>
      </c>
      <c r="BE140">
        <v>54</v>
      </c>
      <c r="BF140" t="s">
        <v>22</v>
      </c>
    </row>
    <row r="141" spans="1:59" x14ac:dyDescent="0.25">
      <c r="A141" t="s">
        <v>521</v>
      </c>
      <c r="B141" t="s">
        <v>152</v>
      </c>
      <c r="C141">
        <v>0</v>
      </c>
      <c r="D141" t="s">
        <v>8</v>
      </c>
      <c r="E141">
        <v>0</v>
      </c>
      <c r="F141" t="s">
        <v>38</v>
      </c>
      <c r="G141">
        <v>0</v>
      </c>
      <c r="H141" t="s">
        <v>253</v>
      </c>
      <c r="I141">
        <v>0</v>
      </c>
      <c r="J141" t="s">
        <v>39</v>
      </c>
      <c r="K141">
        <v>0</v>
      </c>
      <c r="L141" t="s">
        <v>47</v>
      </c>
      <c r="M141">
        <v>0</v>
      </c>
      <c r="AF141" t="s">
        <v>22</v>
      </c>
      <c r="AG141">
        <f>(+C141+I141+K141+M141)</f>
        <v>0</v>
      </c>
      <c r="AH141">
        <f>(+C141+G141+K141)</f>
        <v>0</v>
      </c>
      <c r="AI141">
        <f>(+C141+E141)</f>
        <v>0</v>
      </c>
      <c r="AJ141">
        <f>(+K141+M141)</f>
        <v>0</v>
      </c>
      <c r="AK141">
        <f>(+C141)</f>
        <v>0</v>
      </c>
      <c r="AV141" t="s">
        <v>22</v>
      </c>
      <c r="AW141">
        <v>31</v>
      </c>
      <c r="AX141">
        <v>26</v>
      </c>
      <c r="AY141">
        <v>9</v>
      </c>
      <c r="AZ141">
        <v>20</v>
      </c>
      <c r="BA141">
        <v>2</v>
      </c>
      <c r="BB141" t="s">
        <v>22</v>
      </c>
    </row>
    <row r="142" spans="1:59" x14ac:dyDescent="0.25">
      <c r="A142" t="s">
        <v>522</v>
      </c>
      <c r="B142" t="s">
        <v>194</v>
      </c>
      <c r="C142">
        <v>0</v>
      </c>
      <c r="D142" t="s">
        <v>25</v>
      </c>
      <c r="E142">
        <v>0</v>
      </c>
      <c r="F142" t="s">
        <v>456</v>
      </c>
      <c r="G142">
        <v>0</v>
      </c>
      <c r="H142" t="s">
        <v>6</v>
      </c>
      <c r="I142">
        <v>0</v>
      </c>
      <c r="J142" t="s">
        <v>523</v>
      </c>
      <c r="K142">
        <v>0</v>
      </c>
      <c r="L142" t="s">
        <v>24</v>
      </c>
      <c r="M142">
        <v>0</v>
      </c>
      <c r="N142" t="s">
        <v>524</v>
      </c>
      <c r="O142">
        <v>0</v>
      </c>
      <c r="P142" t="s">
        <v>272</v>
      </c>
      <c r="Q142">
        <v>0</v>
      </c>
      <c r="AF142" t="s">
        <v>22</v>
      </c>
      <c r="AG142">
        <f>(+C142+G142+K142+Q142)</f>
        <v>0</v>
      </c>
      <c r="AH142">
        <f>(+C142+G142+O142)</f>
        <v>0</v>
      </c>
      <c r="AI142">
        <f>(+C142+G142+M142+O142)</f>
        <v>0</v>
      </c>
      <c r="AJ142">
        <f>(+E142+G142+I142+K142)</f>
        <v>0</v>
      </c>
      <c r="AK142">
        <f>(+E142+M142+O142)</f>
        <v>0</v>
      </c>
      <c r="AL142">
        <f>(+G142+K142+O142)</f>
        <v>0</v>
      </c>
      <c r="AM142">
        <f>(+C142+G142)</f>
        <v>0</v>
      </c>
      <c r="AN142">
        <f>(+C142+K142+O142)</f>
        <v>0</v>
      </c>
      <c r="AO142">
        <f>(+G142+O142+Q142)</f>
        <v>0</v>
      </c>
      <c r="AP142">
        <f>(+G142+K142+O142)</f>
        <v>0</v>
      </c>
      <c r="AV142" t="s">
        <v>22</v>
      </c>
      <c r="AW142">
        <v>41</v>
      </c>
      <c r="AX142">
        <v>45</v>
      </c>
      <c r="AY142">
        <v>51</v>
      </c>
      <c r="AZ142">
        <v>174</v>
      </c>
      <c r="BA142">
        <v>154</v>
      </c>
      <c r="BB142">
        <v>46</v>
      </c>
      <c r="BC142">
        <v>27</v>
      </c>
      <c r="BD142">
        <v>37</v>
      </c>
      <c r="BE142">
        <v>40</v>
      </c>
      <c r="BF142">
        <v>46</v>
      </c>
      <c r="BG142" t="s">
        <v>22</v>
      </c>
    </row>
    <row r="143" spans="1:59" x14ac:dyDescent="0.25">
      <c r="A143" t="s">
        <v>525</v>
      </c>
      <c r="B143" t="s">
        <v>245</v>
      </c>
      <c r="C143">
        <v>0</v>
      </c>
      <c r="D143" t="s">
        <v>50</v>
      </c>
      <c r="E143">
        <v>0</v>
      </c>
      <c r="F143" t="s">
        <v>56</v>
      </c>
      <c r="G143">
        <v>0</v>
      </c>
      <c r="H143" t="s">
        <v>116</v>
      </c>
      <c r="I143">
        <v>0</v>
      </c>
      <c r="J143" t="s">
        <v>380</v>
      </c>
      <c r="K143">
        <v>0</v>
      </c>
      <c r="L143" t="s">
        <v>366</v>
      </c>
      <c r="M143">
        <v>0</v>
      </c>
      <c r="N143" t="s">
        <v>526</v>
      </c>
      <c r="O143">
        <v>0</v>
      </c>
      <c r="P143" t="s">
        <v>147</v>
      </c>
      <c r="Q143">
        <v>0</v>
      </c>
      <c r="AF143" t="s">
        <v>22</v>
      </c>
      <c r="AG143">
        <f>(+C143+M143+O143)</f>
        <v>0</v>
      </c>
      <c r="AH143">
        <f>(+E143+I143+K143+O143)</f>
        <v>0</v>
      </c>
      <c r="AI143">
        <f>(+C143+E143+G143+I143+K143+Q143)</f>
        <v>0</v>
      </c>
      <c r="AJ143">
        <f>(+E143+I143+K143+M143+Q143)</f>
        <v>0</v>
      </c>
      <c r="AK143">
        <f>(+I143+K143+M143+Q143)</f>
        <v>0</v>
      </c>
      <c r="AL143">
        <f>(+C143+G143+I143+K143+M143+Q143)</f>
        <v>0</v>
      </c>
      <c r="AM143">
        <f>(+K143+O143+Q143)</f>
        <v>0</v>
      </c>
      <c r="AV143" t="s">
        <v>22</v>
      </c>
      <c r="AW143">
        <v>41</v>
      </c>
      <c r="AX143">
        <v>62</v>
      </c>
      <c r="AY143">
        <v>86</v>
      </c>
      <c r="AZ143">
        <v>64</v>
      </c>
      <c r="BA143">
        <v>47</v>
      </c>
      <c r="BB143">
        <v>76</v>
      </c>
      <c r="BC143">
        <v>39</v>
      </c>
      <c r="BD143" t="s">
        <v>22</v>
      </c>
    </row>
    <row r="144" spans="1:59" x14ac:dyDescent="0.25">
      <c r="A144" t="s">
        <v>527</v>
      </c>
      <c r="B144" t="s">
        <v>130</v>
      </c>
      <c r="C144">
        <v>0</v>
      </c>
      <c r="D144" t="s">
        <v>207</v>
      </c>
      <c r="E144">
        <v>0</v>
      </c>
      <c r="F144" t="s">
        <v>237</v>
      </c>
      <c r="G144">
        <v>0</v>
      </c>
      <c r="H144" t="s">
        <v>528</v>
      </c>
      <c r="I144">
        <v>0</v>
      </c>
      <c r="J144" t="s">
        <v>204</v>
      </c>
      <c r="K144">
        <v>0</v>
      </c>
      <c r="L144" t="s">
        <v>302</v>
      </c>
      <c r="M144">
        <v>0</v>
      </c>
      <c r="N144" t="s">
        <v>169</v>
      </c>
      <c r="O144">
        <v>0</v>
      </c>
      <c r="P144" t="s">
        <v>18</v>
      </c>
      <c r="Q144">
        <v>0</v>
      </c>
      <c r="R144" t="s">
        <v>57</v>
      </c>
      <c r="S144">
        <v>0</v>
      </c>
      <c r="AF144" t="s">
        <v>22</v>
      </c>
      <c r="AG144">
        <f>(+I144+K144+Q144)</f>
        <v>0</v>
      </c>
      <c r="AH144">
        <f>(+C144+E144+K144+Q144+S144)</f>
        <v>0</v>
      </c>
      <c r="AI144">
        <f>(+C144+I144+O144+Q144+S144)</f>
        <v>0</v>
      </c>
      <c r="AJ144">
        <f>(+C144+I144+K144+O144+Q144)</f>
        <v>0</v>
      </c>
      <c r="AK144">
        <f>(+G144+K144+O144+Q144)</f>
        <v>0</v>
      </c>
      <c r="AL144">
        <f>(+C144+G144+I144+M144)</f>
        <v>0</v>
      </c>
      <c r="AM144">
        <f>(+E144+G144+I144+M144+S144)</f>
        <v>0</v>
      </c>
      <c r="AV144" t="s">
        <v>22</v>
      </c>
      <c r="AW144">
        <v>17</v>
      </c>
      <c r="AX144">
        <v>32</v>
      </c>
      <c r="AY144">
        <v>166</v>
      </c>
      <c r="AZ144">
        <v>161</v>
      </c>
      <c r="BA144">
        <v>166</v>
      </c>
      <c r="BB144">
        <v>37</v>
      </c>
      <c r="BC144">
        <v>57</v>
      </c>
      <c r="BD144" t="s">
        <v>22</v>
      </c>
    </row>
    <row r="145" spans="1:59" x14ac:dyDescent="0.25">
      <c r="A145" t="s">
        <v>529</v>
      </c>
      <c r="B145" t="s">
        <v>530</v>
      </c>
      <c r="C145">
        <v>0</v>
      </c>
      <c r="D145" t="s">
        <v>183</v>
      </c>
      <c r="E145">
        <v>0</v>
      </c>
      <c r="F145" t="s">
        <v>44</v>
      </c>
      <c r="G145">
        <v>0</v>
      </c>
      <c r="H145" t="s">
        <v>226</v>
      </c>
      <c r="I145">
        <v>0</v>
      </c>
      <c r="J145" t="s">
        <v>25</v>
      </c>
      <c r="K145">
        <v>0</v>
      </c>
      <c r="L145" t="s">
        <v>115</v>
      </c>
      <c r="M145">
        <v>0</v>
      </c>
      <c r="N145" t="s">
        <v>246</v>
      </c>
      <c r="O145">
        <v>0</v>
      </c>
      <c r="P145" t="s">
        <v>32</v>
      </c>
      <c r="Q145">
        <v>0</v>
      </c>
      <c r="AF145" t="s">
        <v>22</v>
      </c>
      <c r="AG145">
        <f>(+E145+O145+Q145)</f>
        <v>0</v>
      </c>
      <c r="AH145">
        <f>(+E145+I145+M145)</f>
        <v>0</v>
      </c>
      <c r="AI145">
        <f>(+O145)</f>
        <v>0</v>
      </c>
      <c r="AJ145">
        <f>(+K145)</f>
        <v>0</v>
      </c>
      <c r="AK145">
        <f>(+C145+G145+K145+O145)</f>
        <v>0</v>
      </c>
      <c r="AL145">
        <f>(+E145+G145+I145+M145)</f>
        <v>0</v>
      </c>
      <c r="AM145">
        <f>(+C145+E145+I145+O145+Q145)</f>
        <v>0</v>
      </c>
      <c r="AN145">
        <f>(+C145)</f>
        <v>0</v>
      </c>
      <c r="AV145" t="s">
        <v>22</v>
      </c>
      <c r="AW145">
        <v>24</v>
      </c>
      <c r="AX145">
        <v>28</v>
      </c>
      <c r="AY145">
        <v>2</v>
      </c>
      <c r="AZ145">
        <v>15</v>
      </c>
      <c r="BA145">
        <v>45</v>
      </c>
      <c r="BB145">
        <v>44</v>
      </c>
      <c r="BC145">
        <v>53</v>
      </c>
      <c r="BD145">
        <v>12</v>
      </c>
      <c r="BE145" t="s">
        <v>22</v>
      </c>
    </row>
    <row r="146" spans="1:59" x14ac:dyDescent="0.25">
      <c r="A146" t="s">
        <v>531</v>
      </c>
      <c r="B146" t="s">
        <v>40</v>
      </c>
      <c r="C146">
        <v>0</v>
      </c>
      <c r="D146" t="s">
        <v>11</v>
      </c>
      <c r="E146">
        <v>0</v>
      </c>
      <c r="F146" t="s">
        <v>25</v>
      </c>
      <c r="G146">
        <v>0</v>
      </c>
      <c r="H146" t="s">
        <v>6</v>
      </c>
      <c r="I146">
        <v>0</v>
      </c>
      <c r="J146" t="s">
        <v>106</v>
      </c>
      <c r="K146">
        <v>0</v>
      </c>
      <c r="L146" t="s">
        <v>204</v>
      </c>
      <c r="M146">
        <v>0</v>
      </c>
      <c r="AF146" t="s">
        <v>22</v>
      </c>
      <c r="AG146">
        <f>(+C146+E146+K146+M146)</f>
        <v>0</v>
      </c>
      <c r="AH146">
        <f>(+E146+M146)</f>
        <v>0</v>
      </c>
      <c r="AI146">
        <f>(+C146+K146)</f>
        <v>0</v>
      </c>
      <c r="AJ146">
        <f>(+C146+G146+I146+M146)</f>
        <v>0</v>
      </c>
      <c r="AK146">
        <f>(+G146+K146+M146)</f>
        <v>0</v>
      </c>
      <c r="AV146" t="s">
        <v>22</v>
      </c>
      <c r="AW146">
        <v>159</v>
      </c>
      <c r="AX146">
        <v>149</v>
      </c>
      <c r="AY146">
        <v>10</v>
      </c>
      <c r="AZ146">
        <v>26</v>
      </c>
      <c r="BA146">
        <v>26</v>
      </c>
      <c r="BB146" t="s">
        <v>22</v>
      </c>
    </row>
    <row r="147" spans="1:59" x14ac:dyDescent="0.25">
      <c r="A147" t="s">
        <v>532</v>
      </c>
      <c r="B147" t="s">
        <v>533</v>
      </c>
      <c r="C147">
        <v>0</v>
      </c>
      <c r="D147" t="s">
        <v>534</v>
      </c>
      <c r="E147">
        <v>0</v>
      </c>
      <c r="F147" t="s">
        <v>535</v>
      </c>
      <c r="G147">
        <v>0</v>
      </c>
      <c r="H147" t="s">
        <v>56</v>
      </c>
      <c r="I147">
        <v>0</v>
      </c>
      <c r="J147" t="s">
        <v>536</v>
      </c>
      <c r="K147">
        <v>0</v>
      </c>
      <c r="L147" t="s">
        <v>161</v>
      </c>
      <c r="M147">
        <v>0</v>
      </c>
      <c r="N147" t="s">
        <v>537</v>
      </c>
      <c r="O147">
        <v>0</v>
      </c>
      <c r="P147" t="s">
        <v>166</v>
      </c>
      <c r="Q147">
        <v>0</v>
      </c>
      <c r="R147" t="s">
        <v>121</v>
      </c>
      <c r="S147">
        <v>0</v>
      </c>
      <c r="T147" t="s">
        <v>538</v>
      </c>
      <c r="U147">
        <v>0</v>
      </c>
      <c r="AF147" t="s">
        <v>22</v>
      </c>
      <c r="AG147">
        <f>(+G147+K147+M147+O147+S147+U147)</f>
        <v>0</v>
      </c>
      <c r="AH147">
        <f>(+C147+E147+K147+M147+Q147+U147)</f>
        <v>0</v>
      </c>
      <c r="AI147">
        <f>(+C147+E147+I147+K147+O147+Q147+S147)</f>
        <v>0</v>
      </c>
      <c r="AJ147">
        <f>(+E147+G147+K147+M147+O147+Q147+S147)</f>
        <v>0</v>
      </c>
      <c r="AK147">
        <f>(+C147+E147+G147+K147+M147+O147+U147)</f>
        <v>0</v>
      </c>
      <c r="AL147">
        <f>(+I147+O147)</f>
        <v>0</v>
      </c>
      <c r="AM147">
        <f>(+C147+G147+M147+Q147+S147+U147)</f>
        <v>0</v>
      </c>
      <c r="AN147">
        <f>(+C147+E147+G147+M147+S147)</f>
        <v>0</v>
      </c>
      <c r="AO147">
        <f>(+G147+K147+M147)</f>
        <v>0</v>
      </c>
      <c r="AP147">
        <f>(+E147+G147+M147+O147+U147)</f>
        <v>0</v>
      </c>
      <c r="AV147" t="s">
        <v>22</v>
      </c>
      <c r="AW147">
        <v>35</v>
      </c>
      <c r="AX147">
        <v>30</v>
      </c>
      <c r="AY147">
        <v>44</v>
      </c>
      <c r="AZ147">
        <v>31</v>
      </c>
      <c r="BA147">
        <v>42</v>
      </c>
      <c r="BB147">
        <v>20</v>
      </c>
      <c r="BC147">
        <v>34</v>
      </c>
      <c r="BD147">
        <v>26</v>
      </c>
      <c r="BE147">
        <v>10</v>
      </c>
      <c r="BF147">
        <v>28</v>
      </c>
      <c r="BG147" t="s">
        <v>22</v>
      </c>
    </row>
    <row r="148" spans="1:59" x14ac:dyDescent="0.25">
      <c r="A148" t="s">
        <v>539</v>
      </c>
      <c r="B148" t="s">
        <v>540</v>
      </c>
      <c r="C148">
        <v>0</v>
      </c>
      <c r="D148" t="s">
        <v>541</v>
      </c>
      <c r="E148">
        <v>0</v>
      </c>
      <c r="F148" t="s">
        <v>68</v>
      </c>
      <c r="G148">
        <v>0</v>
      </c>
      <c r="H148" t="s">
        <v>44</v>
      </c>
      <c r="I148">
        <v>0</v>
      </c>
      <c r="J148" t="s">
        <v>542</v>
      </c>
      <c r="K148">
        <v>0</v>
      </c>
      <c r="L148" t="s">
        <v>374</v>
      </c>
      <c r="M148">
        <v>0</v>
      </c>
      <c r="N148" t="s">
        <v>137</v>
      </c>
      <c r="O148">
        <v>0</v>
      </c>
      <c r="AF148" t="s">
        <v>22</v>
      </c>
      <c r="AG148">
        <f>(+G148+M148+O148)</f>
        <v>0</v>
      </c>
      <c r="AH148">
        <f>(+C148+K148+M148+O148)</f>
        <v>0</v>
      </c>
      <c r="AI148">
        <f>(+M148+O148)</f>
        <v>0</v>
      </c>
      <c r="AJ148">
        <f>(+G148+K148+M148+O148)</f>
        <v>0</v>
      </c>
      <c r="AK148">
        <f>(+I148+K148+O148)</f>
        <v>0</v>
      </c>
      <c r="AL148">
        <f>(+I148+K148+M148+O148)</f>
        <v>0</v>
      </c>
      <c r="AM148">
        <f>(+E148+K148+O148)</f>
        <v>0</v>
      </c>
      <c r="AN148">
        <f>(+G148+K148)</f>
        <v>0</v>
      </c>
      <c r="AO148">
        <f>(+C148+E148+K148+M148)</f>
        <v>0</v>
      </c>
      <c r="AV148" t="s">
        <v>22</v>
      </c>
      <c r="AW148">
        <v>29</v>
      </c>
      <c r="AX148">
        <v>48</v>
      </c>
      <c r="AY148">
        <v>25</v>
      </c>
      <c r="AZ148">
        <v>33</v>
      </c>
      <c r="BA148">
        <v>36</v>
      </c>
      <c r="BB148">
        <v>42</v>
      </c>
      <c r="BC148">
        <v>43</v>
      </c>
      <c r="BD148">
        <v>8</v>
      </c>
      <c r="BE148">
        <v>49</v>
      </c>
      <c r="BF148" t="s">
        <v>22</v>
      </c>
    </row>
    <row r="149" spans="1:59" x14ac:dyDescent="0.25">
      <c r="A149" t="s">
        <v>543</v>
      </c>
      <c r="B149" t="s">
        <v>16</v>
      </c>
      <c r="C149">
        <v>0</v>
      </c>
      <c r="D149" t="s">
        <v>19</v>
      </c>
      <c r="E149">
        <v>0</v>
      </c>
      <c r="F149" t="s">
        <v>13</v>
      </c>
      <c r="G149">
        <v>0</v>
      </c>
      <c r="AF149" t="s">
        <v>22</v>
      </c>
      <c r="AG149">
        <f>(+E149+G149)</f>
        <v>0</v>
      </c>
      <c r="AH149">
        <f>(+C149)</f>
        <v>0</v>
      </c>
      <c r="AI149">
        <f>(+C149+G149)</f>
        <v>0</v>
      </c>
      <c r="AJ149">
        <f>(+C149+E149+G149)</f>
        <v>0</v>
      </c>
      <c r="AK149">
        <f>(+C149+E149+G149)</f>
        <v>0</v>
      </c>
      <c r="AV149" t="s">
        <v>22</v>
      </c>
      <c r="AW149">
        <v>28</v>
      </c>
      <c r="AX149">
        <v>16</v>
      </c>
      <c r="AY149">
        <v>35</v>
      </c>
      <c r="AZ149">
        <v>44</v>
      </c>
      <c r="BA149">
        <v>44</v>
      </c>
      <c r="BB149" t="s">
        <v>22</v>
      </c>
    </row>
    <row r="150" spans="1:59" x14ac:dyDescent="0.25">
      <c r="A150" t="s">
        <v>544</v>
      </c>
      <c r="B150" t="s">
        <v>433</v>
      </c>
      <c r="C150">
        <v>0</v>
      </c>
      <c r="D150" t="s">
        <v>89</v>
      </c>
      <c r="E150">
        <v>0</v>
      </c>
      <c r="F150" t="s">
        <v>9</v>
      </c>
      <c r="G150">
        <v>0</v>
      </c>
      <c r="H150" t="s">
        <v>18</v>
      </c>
      <c r="I150">
        <v>0</v>
      </c>
      <c r="J150" t="s">
        <v>306</v>
      </c>
      <c r="K150">
        <v>0</v>
      </c>
      <c r="L150" t="s">
        <v>25</v>
      </c>
      <c r="M150">
        <v>0</v>
      </c>
      <c r="N150" t="s">
        <v>113</v>
      </c>
      <c r="O150">
        <v>0</v>
      </c>
      <c r="P150" t="s">
        <v>366</v>
      </c>
      <c r="Q150">
        <v>0</v>
      </c>
      <c r="R150" t="s">
        <v>253</v>
      </c>
      <c r="S150">
        <v>0</v>
      </c>
      <c r="AF150" t="s">
        <v>22</v>
      </c>
      <c r="AG150">
        <f>(+C150+E150+I150+K150+Q150+S150)</f>
        <v>0</v>
      </c>
      <c r="AH150">
        <f>(+C150+I150)</f>
        <v>0</v>
      </c>
      <c r="AI150">
        <f>(+E150+G150+I150+K150+O150)</f>
        <v>0</v>
      </c>
      <c r="AJ150">
        <f>(+C150+G150+I150+M150+Q150)</f>
        <v>0</v>
      </c>
      <c r="AK150">
        <f>(+I150+K150+M150+Q150)</f>
        <v>0</v>
      </c>
      <c r="AL150">
        <f>(+C150+E150+K150+Q150)</f>
        <v>0</v>
      </c>
      <c r="AM150">
        <f>(+E150+K150+O150)</f>
        <v>0</v>
      </c>
      <c r="AV150" t="s">
        <v>22</v>
      </c>
      <c r="AW150">
        <v>190</v>
      </c>
      <c r="AX150">
        <v>21</v>
      </c>
      <c r="AY150">
        <v>181</v>
      </c>
      <c r="AZ150">
        <v>45</v>
      </c>
      <c r="BA150">
        <v>179</v>
      </c>
      <c r="BB150">
        <v>162</v>
      </c>
      <c r="BC150">
        <v>161</v>
      </c>
      <c r="BD150" t="s">
        <v>22</v>
      </c>
    </row>
    <row r="151" spans="1:59" x14ac:dyDescent="0.25">
      <c r="A151" t="s">
        <v>545</v>
      </c>
      <c r="B151" t="s">
        <v>19</v>
      </c>
      <c r="C151">
        <v>0</v>
      </c>
      <c r="D151" t="s">
        <v>16</v>
      </c>
      <c r="E151">
        <v>0</v>
      </c>
      <c r="F151" t="s">
        <v>25</v>
      </c>
      <c r="G151">
        <v>0</v>
      </c>
      <c r="H151" t="s">
        <v>128</v>
      </c>
      <c r="I151">
        <v>0</v>
      </c>
      <c r="J151" t="s">
        <v>38</v>
      </c>
      <c r="K151">
        <v>0</v>
      </c>
      <c r="L151" t="s">
        <v>21</v>
      </c>
      <c r="M151">
        <v>0</v>
      </c>
      <c r="AF151" t="s">
        <v>22</v>
      </c>
      <c r="AG151">
        <f>(+C151+I151)</f>
        <v>0</v>
      </c>
      <c r="AH151">
        <f>(+E151+I151+K151+M151)</f>
        <v>0</v>
      </c>
      <c r="AI151">
        <f>(+E151+M151)</f>
        <v>0</v>
      </c>
      <c r="AJ151">
        <f>(+C151+E151+G151)</f>
        <v>0</v>
      </c>
      <c r="AK151">
        <f>(+C151+E151+G151+I151)</f>
        <v>0</v>
      </c>
      <c r="AV151" t="s">
        <v>22</v>
      </c>
      <c r="AW151">
        <v>7</v>
      </c>
      <c r="AX151">
        <v>41</v>
      </c>
      <c r="AY151">
        <v>34</v>
      </c>
      <c r="AZ151">
        <v>33</v>
      </c>
      <c r="BA151">
        <v>40</v>
      </c>
      <c r="BB151" t="s">
        <v>22</v>
      </c>
    </row>
    <row r="152" spans="1:59" x14ac:dyDescent="0.25">
      <c r="A152" t="s">
        <v>546</v>
      </c>
      <c r="B152" t="s">
        <v>15</v>
      </c>
      <c r="C152">
        <v>0</v>
      </c>
      <c r="D152" t="s">
        <v>39</v>
      </c>
      <c r="E152">
        <v>0</v>
      </c>
      <c r="AF152" t="s">
        <v>22</v>
      </c>
      <c r="AG152">
        <f>(+C152+E152)</f>
        <v>0</v>
      </c>
      <c r="AH152">
        <f>(+C152+E152)</f>
        <v>0</v>
      </c>
      <c r="AI152">
        <f>(+C152)</f>
        <v>0</v>
      </c>
      <c r="AJ152">
        <f>(+E152)</f>
        <v>0</v>
      </c>
      <c r="AV152" t="s">
        <v>22</v>
      </c>
      <c r="AW152">
        <v>162</v>
      </c>
      <c r="AX152">
        <v>162</v>
      </c>
      <c r="AY152">
        <v>19</v>
      </c>
      <c r="AZ152">
        <v>143</v>
      </c>
      <c r="BA152" t="s">
        <v>22</v>
      </c>
    </row>
    <row r="153" spans="1:59" x14ac:dyDescent="0.25">
      <c r="A153" t="s">
        <v>547</v>
      </c>
      <c r="B153" t="s">
        <v>366</v>
      </c>
      <c r="C153">
        <v>0</v>
      </c>
      <c r="D153" t="s">
        <v>433</v>
      </c>
      <c r="E153">
        <v>0</v>
      </c>
      <c r="F153" t="s">
        <v>20</v>
      </c>
      <c r="G153">
        <v>0</v>
      </c>
      <c r="H153" t="s">
        <v>40</v>
      </c>
      <c r="I153">
        <v>0</v>
      </c>
      <c r="J153" t="s">
        <v>11</v>
      </c>
      <c r="K153">
        <v>0</v>
      </c>
      <c r="L153" t="s">
        <v>97</v>
      </c>
      <c r="M153">
        <v>0</v>
      </c>
      <c r="N153" t="s">
        <v>15</v>
      </c>
      <c r="O153">
        <v>0</v>
      </c>
      <c r="AF153" t="s">
        <v>22</v>
      </c>
      <c r="AG153">
        <f>(+C153+E153+G153+I153+K153+O153)</f>
        <v>0</v>
      </c>
      <c r="AH153">
        <f>(+E153+G153+K153+O153)</f>
        <v>0</v>
      </c>
      <c r="AI153">
        <f>(+G153+I153+M153+O153)</f>
        <v>0</v>
      </c>
      <c r="AJ153">
        <f>(+C153+E153+I153+M153)</f>
        <v>0</v>
      </c>
      <c r="AK153">
        <f>(+C153+G153)</f>
        <v>0</v>
      </c>
      <c r="AL153">
        <f>(+C153+E153+G153+M153)</f>
        <v>0</v>
      </c>
      <c r="AV153" t="s">
        <v>22</v>
      </c>
      <c r="AW153">
        <v>51</v>
      </c>
      <c r="AX153">
        <v>33</v>
      </c>
      <c r="AY153">
        <v>29</v>
      </c>
      <c r="AZ153">
        <v>25</v>
      </c>
      <c r="BA153">
        <v>18</v>
      </c>
      <c r="BB153">
        <v>25</v>
      </c>
      <c r="BC153" t="s">
        <v>22</v>
      </c>
    </row>
    <row r="154" spans="1:59" x14ac:dyDescent="0.25">
      <c r="A154" t="s">
        <v>548</v>
      </c>
      <c r="B154" t="s">
        <v>21</v>
      </c>
      <c r="C154">
        <v>0</v>
      </c>
      <c r="D154" t="s">
        <v>6</v>
      </c>
      <c r="E154">
        <v>0</v>
      </c>
      <c r="F154" t="s">
        <v>15</v>
      </c>
      <c r="G154">
        <v>0</v>
      </c>
      <c r="H154" t="s">
        <v>9</v>
      </c>
      <c r="I154">
        <v>0</v>
      </c>
      <c r="J154" t="s">
        <v>8</v>
      </c>
      <c r="K154">
        <v>0</v>
      </c>
      <c r="L154" t="s">
        <v>253</v>
      </c>
      <c r="M154">
        <v>0</v>
      </c>
      <c r="AF154" t="s">
        <v>22</v>
      </c>
      <c r="AG154">
        <f>(+G154+M154)</f>
        <v>0</v>
      </c>
      <c r="AH154">
        <f>(+C154+G154)</f>
        <v>0</v>
      </c>
      <c r="AI154">
        <f>(+C154+G154+I154+K154)</f>
        <v>0</v>
      </c>
      <c r="AJ154">
        <f>(+E154+I154)</f>
        <v>0</v>
      </c>
      <c r="AV154" t="s">
        <v>22</v>
      </c>
      <c r="AW154">
        <v>3</v>
      </c>
      <c r="AX154">
        <v>3</v>
      </c>
      <c r="AY154">
        <v>34</v>
      </c>
      <c r="AZ154">
        <v>25</v>
      </c>
      <c r="BA154" t="s">
        <v>22</v>
      </c>
    </row>
    <row r="155" spans="1:59" x14ac:dyDescent="0.25">
      <c r="A155" t="s">
        <v>549</v>
      </c>
      <c r="B155" t="s">
        <v>550</v>
      </c>
      <c r="C155">
        <v>0</v>
      </c>
      <c r="D155" t="s">
        <v>356</v>
      </c>
      <c r="E155">
        <v>0</v>
      </c>
      <c r="F155" t="s">
        <v>67</v>
      </c>
      <c r="G155">
        <v>0</v>
      </c>
      <c r="H155" t="s">
        <v>143</v>
      </c>
      <c r="I155">
        <v>0</v>
      </c>
      <c r="J155" t="s">
        <v>380</v>
      </c>
      <c r="K155">
        <v>0</v>
      </c>
      <c r="L155" t="s">
        <v>309</v>
      </c>
      <c r="M155">
        <v>0</v>
      </c>
      <c r="N155" t="s">
        <v>441</v>
      </c>
      <c r="O155">
        <v>0</v>
      </c>
      <c r="AF155" t="s">
        <v>22</v>
      </c>
      <c r="AG155">
        <f>(+C155+E155+G155+I155+O155)</f>
        <v>0</v>
      </c>
      <c r="AH155">
        <f>(+C155+K155)</f>
        <v>0</v>
      </c>
      <c r="AI155">
        <f>(+C155+E155+I155+K155+M155+O155)</f>
        <v>0</v>
      </c>
      <c r="AJ155">
        <f>(+E155+I155+K155+M155+O155)</f>
        <v>0</v>
      </c>
      <c r="AK155">
        <f>(+C155+E155+I155+K155)</f>
        <v>0</v>
      </c>
      <c r="AL155">
        <f>(+E155+K155+M155+O155)</f>
        <v>0</v>
      </c>
      <c r="AM155">
        <f>(+G155+I155+K155+M155+O155)</f>
        <v>0</v>
      </c>
      <c r="AN155">
        <f>(+C155+E155+G155+I155+O155)</f>
        <v>0</v>
      </c>
      <c r="AV155" t="s">
        <v>22</v>
      </c>
      <c r="AW155">
        <v>51</v>
      </c>
      <c r="AX155">
        <v>11</v>
      </c>
      <c r="AY155">
        <v>59</v>
      </c>
      <c r="AZ155">
        <v>56</v>
      </c>
      <c r="BA155">
        <v>35</v>
      </c>
      <c r="BB155">
        <v>40</v>
      </c>
      <c r="BC155">
        <v>54</v>
      </c>
      <c r="BD155">
        <v>51</v>
      </c>
      <c r="BE155" t="s">
        <v>22</v>
      </c>
    </row>
    <row r="156" spans="1:59" x14ac:dyDescent="0.25">
      <c r="A156" t="s">
        <v>551</v>
      </c>
      <c r="B156" t="s">
        <v>7</v>
      </c>
      <c r="C156">
        <v>0</v>
      </c>
      <c r="D156" t="s">
        <v>6</v>
      </c>
      <c r="E156">
        <v>0</v>
      </c>
      <c r="F156" t="s">
        <v>14</v>
      </c>
      <c r="G156">
        <v>0</v>
      </c>
      <c r="H156" t="s">
        <v>10</v>
      </c>
      <c r="I156">
        <v>0</v>
      </c>
      <c r="J156" t="s">
        <v>39</v>
      </c>
      <c r="K156">
        <v>0</v>
      </c>
      <c r="L156" t="s">
        <v>19</v>
      </c>
      <c r="M156">
        <v>0</v>
      </c>
      <c r="AF156" t="s">
        <v>22</v>
      </c>
      <c r="AG156">
        <f>(+G156+I156+K156+M156)</f>
        <v>0</v>
      </c>
      <c r="AH156">
        <f>(+C156+K156)</f>
        <v>0</v>
      </c>
      <c r="AI156">
        <f>(+I156)</f>
        <v>0</v>
      </c>
      <c r="AJ156">
        <f>(+C156+E156+K156+M156)</f>
        <v>0</v>
      </c>
      <c r="AK156">
        <f>(+G156+M156)</f>
        <v>0</v>
      </c>
      <c r="AV156" t="s">
        <v>22</v>
      </c>
      <c r="AW156">
        <v>45</v>
      </c>
      <c r="AX156">
        <v>28</v>
      </c>
      <c r="AY156">
        <v>13</v>
      </c>
      <c r="AZ156">
        <v>62</v>
      </c>
      <c r="BA156">
        <v>19</v>
      </c>
      <c r="BB156" t="s">
        <v>22</v>
      </c>
    </row>
    <row r="157" spans="1:59" x14ac:dyDescent="0.25">
      <c r="A157" t="s">
        <v>552</v>
      </c>
      <c r="B157" t="s">
        <v>553</v>
      </c>
      <c r="C157">
        <v>0</v>
      </c>
      <c r="D157" t="s">
        <v>554</v>
      </c>
      <c r="E157">
        <v>0</v>
      </c>
      <c r="F157" t="s">
        <v>555</v>
      </c>
      <c r="G157">
        <v>0</v>
      </c>
      <c r="H157" t="s">
        <v>556</v>
      </c>
      <c r="I157">
        <v>0</v>
      </c>
      <c r="J157" t="s">
        <v>292</v>
      </c>
      <c r="K157">
        <v>0</v>
      </c>
      <c r="L157" t="s">
        <v>557</v>
      </c>
      <c r="M157">
        <v>0</v>
      </c>
      <c r="N157" t="s">
        <v>558</v>
      </c>
      <c r="O157">
        <v>0</v>
      </c>
      <c r="P157" t="s">
        <v>559</v>
      </c>
      <c r="Q157">
        <v>0</v>
      </c>
      <c r="AF157" t="s">
        <v>22</v>
      </c>
      <c r="AG157">
        <f>(+C157+K157+M157+O157)</f>
        <v>0</v>
      </c>
      <c r="AH157">
        <f>(+C157+I157+K157+M157)</f>
        <v>0</v>
      </c>
      <c r="AI157">
        <f>(+C157+E157+I157+K157+M157)</f>
        <v>0</v>
      </c>
      <c r="AJ157">
        <f>(+C157+G157+I157+K157+M157+Q157)</f>
        <v>0</v>
      </c>
      <c r="AK157">
        <f>(+C157+E157+I157)</f>
        <v>0</v>
      </c>
      <c r="AL157">
        <f>(+E157+K157+M157+Q157)</f>
        <v>0</v>
      </c>
      <c r="AM157">
        <f>(+C157+E157+I157+K157+M157+Q157)</f>
        <v>0</v>
      </c>
      <c r="AN157">
        <f>(+I157+K157+O157)</f>
        <v>0</v>
      </c>
      <c r="AO157">
        <f>(+C157+G157+I157+K157+O157)</f>
        <v>0</v>
      </c>
      <c r="AP157">
        <f>(+C157+E157+G157+I157+M157+O157+Q157)</f>
        <v>0</v>
      </c>
      <c r="AV157" t="s">
        <v>22</v>
      </c>
      <c r="AW157">
        <v>213</v>
      </c>
      <c r="AX157">
        <v>50</v>
      </c>
      <c r="AY157">
        <v>57</v>
      </c>
      <c r="AZ157">
        <v>55</v>
      </c>
      <c r="BA157">
        <v>27</v>
      </c>
      <c r="BB157">
        <v>42</v>
      </c>
      <c r="BC157">
        <v>62</v>
      </c>
      <c r="BD157">
        <v>200</v>
      </c>
      <c r="BE157">
        <v>210</v>
      </c>
      <c r="BF157">
        <v>218</v>
      </c>
      <c r="BG157" t="s">
        <v>22</v>
      </c>
    </row>
    <row r="158" spans="1:59" x14ac:dyDescent="0.25">
      <c r="A158" t="s">
        <v>560</v>
      </c>
      <c r="B158" t="s">
        <v>302</v>
      </c>
      <c r="C158">
        <v>0</v>
      </c>
      <c r="D158" t="s">
        <v>116</v>
      </c>
      <c r="E158">
        <v>0</v>
      </c>
      <c r="F158" t="s">
        <v>290</v>
      </c>
      <c r="G158">
        <v>0</v>
      </c>
      <c r="H158" t="s">
        <v>11</v>
      </c>
      <c r="I158">
        <v>0</v>
      </c>
      <c r="J158" t="s">
        <v>193</v>
      </c>
      <c r="K158">
        <v>0</v>
      </c>
      <c r="L158" t="s">
        <v>15</v>
      </c>
      <c r="M158">
        <v>0</v>
      </c>
      <c r="N158" t="s">
        <v>14</v>
      </c>
      <c r="O158">
        <v>0</v>
      </c>
      <c r="P158" t="s">
        <v>257</v>
      </c>
      <c r="Q158">
        <v>0</v>
      </c>
      <c r="AF158" t="s">
        <v>22</v>
      </c>
      <c r="AG158">
        <f>(+I158+K158+M158+O158+Q158)</f>
        <v>0</v>
      </c>
      <c r="AH158">
        <f>(+E158+G158+I158+K158+M158+Q158)</f>
        <v>0</v>
      </c>
      <c r="AI158">
        <f>(+E158+M158+Q158)</f>
        <v>0</v>
      </c>
      <c r="AJ158">
        <f>(+E158+K158+Q158)</f>
        <v>0</v>
      </c>
      <c r="AK158">
        <f>(+E158+G158+K158+O158)</f>
        <v>0</v>
      </c>
      <c r="AL158">
        <f>(+C158+E158+G158+K158)</f>
        <v>0</v>
      </c>
      <c r="AM158">
        <f>(+C158+Q158)</f>
        <v>0</v>
      </c>
      <c r="AV158" t="s">
        <v>22</v>
      </c>
      <c r="AW158">
        <v>48</v>
      </c>
      <c r="AX158">
        <v>68</v>
      </c>
      <c r="AY158">
        <v>39</v>
      </c>
      <c r="AZ158">
        <v>23</v>
      </c>
      <c r="BA158">
        <v>58</v>
      </c>
      <c r="BB158">
        <v>60</v>
      </c>
      <c r="BC158">
        <v>22</v>
      </c>
      <c r="BD158" t="s">
        <v>22</v>
      </c>
    </row>
    <row r="159" spans="1:59" x14ac:dyDescent="0.25">
      <c r="A159" t="s">
        <v>561</v>
      </c>
      <c r="B159" t="s">
        <v>40</v>
      </c>
      <c r="C159">
        <v>0</v>
      </c>
      <c r="D159" t="s">
        <v>204</v>
      </c>
      <c r="E159">
        <v>0</v>
      </c>
      <c r="F159" t="s">
        <v>24</v>
      </c>
      <c r="G159">
        <v>0</v>
      </c>
      <c r="H159" t="s">
        <v>14</v>
      </c>
      <c r="I159">
        <v>0</v>
      </c>
      <c r="AF159" t="s">
        <v>22</v>
      </c>
      <c r="AG159">
        <f>(+C159+E159+I159)</f>
        <v>0</v>
      </c>
      <c r="AH159">
        <f>(+E159)</f>
        <v>0</v>
      </c>
      <c r="AI159">
        <f>(+C159+G159)</f>
        <v>0</v>
      </c>
      <c r="AJ159">
        <f>(+C159+E159)</f>
        <v>0</v>
      </c>
      <c r="AK159">
        <f>(+E159+G159+I159)</f>
        <v>0</v>
      </c>
      <c r="AV159" t="s">
        <v>22</v>
      </c>
      <c r="AW159">
        <v>45</v>
      </c>
      <c r="AX159">
        <v>18</v>
      </c>
      <c r="AY159">
        <v>22</v>
      </c>
      <c r="AZ159">
        <v>28</v>
      </c>
      <c r="BA159">
        <v>47</v>
      </c>
      <c r="BB159" t="s">
        <v>22</v>
      </c>
    </row>
    <row r="160" spans="1:59" x14ac:dyDescent="0.25">
      <c r="A160" t="s">
        <v>562</v>
      </c>
      <c r="B160" t="s">
        <v>302</v>
      </c>
      <c r="C160">
        <v>0</v>
      </c>
      <c r="D160" t="s">
        <v>352</v>
      </c>
      <c r="E160">
        <v>0</v>
      </c>
      <c r="F160" t="s">
        <v>24</v>
      </c>
      <c r="G160">
        <v>0</v>
      </c>
      <c r="H160" t="s">
        <v>362</v>
      </c>
      <c r="I160">
        <v>0</v>
      </c>
      <c r="J160" t="s">
        <v>563</v>
      </c>
      <c r="K160">
        <v>0</v>
      </c>
      <c r="L160" t="s">
        <v>303</v>
      </c>
      <c r="M160">
        <v>0</v>
      </c>
      <c r="N160" t="s">
        <v>15</v>
      </c>
      <c r="O160">
        <v>0</v>
      </c>
      <c r="P160" t="s">
        <v>564</v>
      </c>
      <c r="Q160">
        <v>0</v>
      </c>
      <c r="AF160" t="s">
        <v>22</v>
      </c>
      <c r="AG160">
        <f>(+I160+K160+M160+O160+Q160)</f>
        <v>0</v>
      </c>
      <c r="AH160">
        <f>(+E160+I160+K160+O160)</f>
        <v>0</v>
      </c>
      <c r="AI160">
        <f>(+E160+G160+K160+M160+O160)</f>
        <v>0</v>
      </c>
      <c r="AJ160">
        <f>(+I160+Q160)</f>
        <v>0</v>
      </c>
      <c r="AK160">
        <f>(+G160+K160)</f>
        <v>0</v>
      </c>
      <c r="AL160">
        <f>(+C160+I160+K160+Q160)</f>
        <v>0</v>
      </c>
      <c r="AM160">
        <f>(+C160+I160+K160+M160)</f>
        <v>0</v>
      </c>
      <c r="AN160">
        <f>(+E160+I160+Q160)</f>
        <v>0</v>
      </c>
      <c r="AV160" t="s">
        <v>22</v>
      </c>
      <c r="AW160">
        <v>65</v>
      </c>
      <c r="AX160">
        <v>69</v>
      </c>
      <c r="AY160">
        <v>74</v>
      </c>
      <c r="AZ160">
        <v>27</v>
      </c>
      <c r="BA160">
        <v>36</v>
      </c>
      <c r="BB160">
        <v>57</v>
      </c>
      <c r="BC160">
        <v>55</v>
      </c>
      <c r="BD160">
        <v>43</v>
      </c>
      <c r="BE160" t="s">
        <v>22</v>
      </c>
    </row>
    <row r="161" spans="1:59" x14ac:dyDescent="0.25">
      <c r="A161" t="s">
        <v>565</v>
      </c>
      <c r="B161" t="s">
        <v>207</v>
      </c>
      <c r="C161">
        <v>0</v>
      </c>
      <c r="D161" t="s">
        <v>160</v>
      </c>
      <c r="E161">
        <v>0</v>
      </c>
      <c r="F161" t="s">
        <v>566</v>
      </c>
      <c r="G161">
        <v>0</v>
      </c>
      <c r="H161" t="s">
        <v>567</v>
      </c>
      <c r="I161">
        <v>0</v>
      </c>
      <c r="J161" t="s">
        <v>148</v>
      </c>
      <c r="K161">
        <v>0</v>
      </c>
      <c r="AF161" t="s">
        <v>22</v>
      </c>
      <c r="AG161">
        <f>(+E161+I161)</f>
        <v>0</v>
      </c>
      <c r="AH161">
        <f>(+C161+G161+I161)</f>
        <v>0</v>
      </c>
      <c r="AI161">
        <f>(+G161+K161)</f>
        <v>0</v>
      </c>
      <c r="AJ161">
        <f>(+K161)</f>
        <v>0</v>
      </c>
      <c r="AK161">
        <f>(+E161+G161+I161)</f>
        <v>0</v>
      </c>
      <c r="AL161">
        <f>(+E161+G161)</f>
        <v>0</v>
      </c>
      <c r="AM161">
        <f>(+C161+I161+K161)</f>
        <v>0</v>
      </c>
      <c r="AV161" t="s">
        <v>22</v>
      </c>
      <c r="AW161">
        <v>20</v>
      </c>
      <c r="AX161">
        <v>29</v>
      </c>
      <c r="AY161">
        <v>14</v>
      </c>
      <c r="AZ161">
        <v>7</v>
      </c>
      <c r="BA161">
        <v>27</v>
      </c>
      <c r="BB161">
        <v>18</v>
      </c>
      <c r="BC161">
        <v>29</v>
      </c>
      <c r="BD161" t="s">
        <v>22</v>
      </c>
    </row>
    <row r="162" spans="1:59" x14ac:dyDescent="0.25">
      <c r="A162" t="s">
        <v>568</v>
      </c>
      <c r="B162" t="s">
        <v>173</v>
      </c>
      <c r="C162">
        <v>0</v>
      </c>
      <c r="D162" t="s">
        <v>376</v>
      </c>
      <c r="E162">
        <v>0</v>
      </c>
      <c r="F162" t="s">
        <v>569</v>
      </c>
      <c r="G162">
        <v>0</v>
      </c>
      <c r="H162" t="s">
        <v>570</v>
      </c>
      <c r="I162">
        <v>0</v>
      </c>
      <c r="J162" t="s">
        <v>571</v>
      </c>
      <c r="K162">
        <v>0</v>
      </c>
      <c r="L162" t="s">
        <v>572</v>
      </c>
      <c r="M162">
        <v>0</v>
      </c>
      <c r="N162" t="s">
        <v>76</v>
      </c>
      <c r="O162">
        <v>0</v>
      </c>
      <c r="P162" t="s">
        <v>10</v>
      </c>
      <c r="Q162">
        <v>0</v>
      </c>
      <c r="R162" t="s">
        <v>315</v>
      </c>
      <c r="S162">
        <v>0</v>
      </c>
      <c r="T162" t="s">
        <v>573</v>
      </c>
      <c r="U162">
        <v>0</v>
      </c>
      <c r="AF162" t="s">
        <v>22</v>
      </c>
      <c r="AG162">
        <f>(+G162+M162+Q162+S162+U162)</f>
        <v>0</v>
      </c>
      <c r="AH162">
        <f>(+G162+I162+O162+U162)</f>
        <v>0</v>
      </c>
      <c r="AI162">
        <f>(+E162+K162+M162+O162+Q162+U162)</f>
        <v>0</v>
      </c>
      <c r="AJ162">
        <f>(+G162+K162+M162+U162)</f>
        <v>0</v>
      </c>
      <c r="AK162">
        <f>(+E162+G162+I162+M162+U162)</f>
        <v>0</v>
      </c>
      <c r="AL162">
        <f>(+C162+E162+G162+M162+S162)</f>
        <v>0</v>
      </c>
      <c r="AM162">
        <f>(+E162+G162+I162+K162+M162)</f>
        <v>0</v>
      </c>
      <c r="AN162">
        <f>(+C162+E162+G162+K162+M162+U162)</f>
        <v>0</v>
      </c>
      <c r="AO162">
        <f>(+G162+K162+M162+S162+U162)</f>
        <v>0</v>
      </c>
      <c r="AP162">
        <f>(+I162+K162+O162+U162)</f>
        <v>0</v>
      </c>
      <c r="AV162" t="s">
        <v>22</v>
      </c>
      <c r="AW162">
        <v>230</v>
      </c>
      <c r="AX162">
        <v>28</v>
      </c>
      <c r="AY162">
        <v>239</v>
      </c>
      <c r="AZ162">
        <v>211</v>
      </c>
      <c r="BA162">
        <v>204</v>
      </c>
      <c r="BB162">
        <v>223</v>
      </c>
      <c r="BC162">
        <v>205</v>
      </c>
      <c r="BD162">
        <v>237</v>
      </c>
      <c r="BE162">
        <v>228</v>
      </c>
      <c r="BF162">
        <v>40</v>
      </c>
      <c r="BG162" t="s">
        <v>22</v>
      </c>
    </row>
    <row r="163" spans="1:59" x14ac:dyDescent="0.25">
      <c r="A163" t="s">
        <v>574</v>
      </c>
      <c r="B163" t="s">
        <v>296</v>
      </c>
      <c r="C163">
        <v>0</v>
      </c>
      <c r="D163" t="s">
        <v>148</v>
      </c>
      <c r="E163">
        <v>0</v>
      </c>
      <c r="F163" t="s">
        <v>257</v>
      </c>
      <c r="G163">
        <v>0</v>
      </c>
      <c r="H163" t="s">
        <v>111</v>
      </c>
      <c r="I163">
        <v>0</v>
      </c>
      <c r="J163" t="s">
        <v>21</v>
      </c>
      <c r="K163">
        <v>0</v>
      </c>
      <c r="AF163" t="s">
        <v>22</v>
      </c>
      <c r="AG163">
        <f>(+C163+G163)</f>
        <v>0</v>
      </c>
      <c r="AH163">
        <f>(+G163+I163+K163)</f>
        <v>0</v>
      </c>
      <c r="AI163">
        <f>(+E163+G163+K163)</f>
        <v>0</v>
      </c>
      <c r="AJ163">
        <f>(+C163+E163+G163+I163)</f>
        <v>0</v>
      </c>
      <c r="AK163">
        <f>(+I163)</f>
        <v>0</v>
      </c>
      <c r="AL163">
        <f>(+C163+I163)</f>
        <v>0</v>
      </c>
      <c r="AM163">
        <f>(+C163+E163+G163+I163)</f>
        <v>0</v>
      </c>
      <c r="AV163" t="s">
        <v>22</v>
      </c>
      <c r="AW163">
        <v>6</v>
      </c>
      <c r="AX163">
        <v>9</v>
      </c>
      <c r="AY163">
        <v>8</v>
      </c>
      <c r="AZ163">
        <v>15</v>
      </c>
      <c r="BA163">
        <v>5</v>
      </c>
      <c r="BB163">
        <v>7</v>
      </c>
      <c r="BC163">
        <v>15</v>
      </c>
      <c r="BD163" t="s">
        <v>22</v>
      </c>
    </row>
    <row r="164" spans="1:59" x14ac:dyDescent="0.25">
      <c r="A164" t="s">
        <v>575</v>
      </c>
      <c r="B164" t="s">
        <v>34</v>
      </c>
      <c r="C164">
        <v>0</v>
      </c>
      <c r="D164" t="s">
        <v>13</v>
      </c>
      <c r="E164">
        <v>0</v>
      </c>
      <c r="F164" t="s">
        <v>97</v>
      </c>
      <c r="G164">
        <v>0</v>
      </c>
      <c r="H164" t="s">
        <v>433</v>
      </c>
      <c r="I164">
        <v>0</v>
      </c>
      <c r="J164" t="s">
        <v>38</v>
      </c>
      <c r="K164">
        <v>0</v>
      </c>
      <c r="L164" t="s">
        <v>130</v>
      </c>
      <c r="M164">
        <v>0</v>
      </c>
      <c r="N164" t="s">
        <v>6</v>
      </c>
      <c r="O164">
        <v>0</v>
      </c>
      <c r="P164" t="s">
        <v>109</v>
      </c>
      <c r="Q164">
        <v>0</v>
      </c>
      <c r="AF164" t="s">
        <v>22</v>
      </c>
      <c r="AG164">
        <f>(+C164+E164+I164+Q164)</f>
        <v>0</v>
      </c>
      <c r="AH164">
        <f>(+I164+K164+M164+Q164)</f>
        <v>0</v>
      </c>
      <c r="AI164">
        <f>(+C164+E164+G164+M164)</f>
        <v>0</v>
      </c>
      <c r="AJ164">
        <f>(+C164+E164+G164+I164+M164+O164)</f>
        <v>0</v>
      </c>
      <c r="AK164">
        <f>(+C164+E164+Q164)</f>
        <v>0</v>
      </c>
      <c r="AL164">
        <f>(+C164+G164+I164+M164+Q164)</f>
        <v>0</v>
      </c>
      <c r="AV164" t="s">
        <v>22</v>
      </c>
      <c r="AW164">
        <v>45</v>
      </c>
      <c r="AX164">
        <v>48</v>
      </c>
      <c r="AY164">
        <v>50</v>
      </c>
      <c r="AZ164">
        <v>57</v>
      </c>
      <c r="BA164">
        <v>42</v>
      </c>
      <c r="BB164">
        <v>57</v>
      </c>
      <c r="BC164" t="s">
        <v>22</v>
      </c>
    </row>
    <row r="165" spans="1:59" x14ac:dyDescent="0.25">
      <c r="A165" t="s">
        <v>576</v>
      </c>
      <c r="B165" t="s">
        <v>11</v>
      </c>
      <c r="C165">
        <v>0</v>
      </c>
      <c r="D165" t="s">
        <v>21</v>
      </c>
      <c r="E165">
        <v>0</v>
      </c>
      <c r="F165" t="s">
        <v>8</v>
      </c>
      <c r="G165">
        <v>0</v>
      </c>
      <c r="H165" t="s">
        <v>6</v>
      </c>
      <c r="I165">
        <v>0</v>
      </c>
      <c r="J165" t="s">
        <v>15</v>
      </c>
      <c r="K165">
        <v>0</v>
      </c>
      <c r="L165" t="s">
        <v>9</v>
      </c>
      <c r="M165">
        <v>0</v>
      </c>
      <c r="AF165" t="s">
        <v>22</v>
      </c>
      <c r="AG165">
        <f>(+C165+K165)</f>
        <v>0</v>
      </c>
      <c r="AH165">
        <f>(+C165+E165+K165)</f>
        <v>0</v>
      </c>
      <c r="AI165">
        <f>(+E165+G165+K165+M165)</f>
        <v>0</v>
      </c>
      <c r="AJ165">
        <f>(+I165+M165)</f>
        <v>0</v>
      </c>
      <c r="AV165" t="s">
        <v>22</v>
      </c>
      <c r="AW165">
        <v>17</v>
      </c>
      <c r="AX165">
        <v>33</v>
      </c>
      <c r="AY165">
        <v>38</v>
      </c>
      <c r="AZ165">
        <v>29</v>
      </c>
      <c r="BA165" t="s">
        <v>22</v>
      </c>
    </row>
    <row r="166" spans="1:59" x14ac:dyDescent="0.25">
      <c r="A166" t="s">
        <v>577</v>
      </c>
      <c r="B166" t="s">
        <v>21</v>
      </c>
      <c r="C166">
        <v>0</v>
      </c>
      <c r="D166" t="s">
        <v>39</v>
      </c>
      <c r="E166">
        <v>0</v>
      </c>
      <c r="F166" t="s">
        <v>118</v>
      </c>
      <c r="G166">
        <v>0</v>
      </c>
      <c r="H166" t="s">
        <v>130</v>
      </c>
      <c r="I166">
        <v>0</v>
      </c>
      <c r="J166" t="s">
        <v>109</v>
      </c>
      <c r="K166">
        <v>0</v>
      </c>
      <c r="L166" t="s">
        <v>56</v>
      </c>
      <c r="M166">
        <v>0</v>
      </c>
      <c r="N166" t="s">
        <v>97</v>
      </c>
      <c r="O166">
        <v>0</v>
      </c>
      <c r="AF166" t="s">
        <v>22</v>
      </c>
      <c r="AG166">
        <f>(+E166+K166)</f>
        <v>0</v>
      </c>
      <c r="AH166">
        <f>(+C166+E166+G166+I166+K166)</f>
        <v>0</v>
      </c>
      <c r="AI166">
        <f>(+C166+I166+M166+O166)</f>
        <v>0</v>
      </c>
      <c r="AJ166">
        <f>(+E166+G166+I166+O166)</f>
        <v>0</v>
      </c>
      <c r="AK166">
        <f>(+G166+K166)</f>
        <v>0</v>
      </c>
      <c r="AL166">
        <f>(+I166+K166+M166+O166)</f>
        <v>0</v>
      </c>
      <c r="AV166" t="s">
        <v>22</v>
      </c>
      <c r="AW166">
        <v>27</v>
      </c>
      <c r="AX166">
        <v>54</v>
      </c>
      <c r="AY166">
        <v>25</v>
      </c>
      <c r="AZ166">
        <v>31</v>
      </c>
      <c r="BA166">
        <v>28</v>
      </c>
      <c r="BB166">
        <v>34</v>
      </c>
      <c r="BC166" t="s">
        <v>22</v>
      </c>
    </row>
    <row r="167" spans="1:59" x14ac:dyDescent="0.25">
      <c r="A167" t="s">
        <v>578</v>
      </c>
      <c r="B167" t="s">
        <v>579</v>
      </c>
      <c r="C167">
        <v>0</v>
      </c>
      <c r="D167" t="s">
        <v>158</v>
      </c>
      <c r="E167">
        <v>0</v>
      </c>
      <c r="F167" t="s">
        <v>248</v>
      </c>
      <c r="G167">
        <v>0</v>
      </c>
      <c r="H167" t="s">
        <v>541</v>
      </c>
      <c r="I167">
        <v>0</v>
      </c>
      <c r="J167" t="s">
        <v>160</v>
      </c>
      <c r="K167">
        <v>0</v>
      </c>
      <c r="L167" t="s">
        <v>56</v>
      </c>
      <c r="M167">
        <v>0</v>
      </c>
      <c r="N167" t="s">
        <v>580</v>
      </c>
      <c r="O167">
        <v>0</v>
      </c>
      <c r="AF167" t="s">
        <v>22</v>
      </c>
      <c r="AG167">
        <f>(+E167+G167+K167+O167)</f>
        <v>0</v>
      </c>
      <c r="AH167">
        <f>(+E167+G167+O167)</f>
        <v>0</v>
      </c>
      <c r="AI167">
        <f>(+C167+G167+M167+O167)</f>
        <v>0</v>
      </c>
      <c r="AJ167">
        <f>(+C167+E167+G167+O167)</f>
        <v>0</v>
      </c>
      <c r="AK167">
        <f>(+C167+G167+K167)</f>
        <v>0</v>
      </c>
      <c r="AL167">
        <f>(+E167+K167+M167)</f>
        <v>0</v>
      </c>
      <c r="AM167">
        <f>(+G167+I167+O167)</f>
        <v>0</v>
      </c>
      <c r="AN167">
        <f>(+E167+G167+O167)</f>
        <v>0</v>
      </c>
      <c r="AO167">
        <f>(+C167+G167+I167+O167)</f>
        <v>0</v>
      </c>
      <c r="AV167" t="s">
        <v>22</v>
      </c>
      <c r="AW167">
        <v>47</v>
      </c>
      <c r="AX167">
        <v>27</v>
      </c>
      <c r="AY167">
        <v>44</v>
      </c>
      <c r="AZ167">
        <v>35</v>
      </c>
      <c r="BA167">
        <v>30</v>
      </c>
      <c r="BB167">
        <v>45</v>
      </c>
      <c r="BC167">
        <v>31</v>
      </c>
      <c r="BD167">
        <v>27</v>
      </c>
      <c r="BE167">
        <v>39</v>
      </c>
      <c r="BF167" t="s">
        <v>22</v>
      </c>
    </row>
    <row r="168" spans="1:59" x14ac:dyDescent="0.25">
      <c r="A168" t="s">
        <v>581</v>
      </c>
      <c r="B168" t="s">
        <v>160</v>
      </c>
      <c r="C168">
        <v>0</v>
      </c>
      <c r="D168" t="s">
        <v>8</v>
      </c>
      <c r="E168">
        <v>0</v>
      </c>
      <c r="F168" t="s">
        <v>18</v>
      </c>
      <c r="G168">
        <v>0</v>
      </c>
      <c r="H168" t="s">
        <v>25</v>
      </c>
      <c r="I168">
        <v>0</v>
      </c>
      <c r="J168" t="s">
        <v>230</v>
      </c>
      <c r="K168">
        <v>0</v>
      </c>
      <c r="L168" t="s">
        <v>243</v>
      </c>
      <c r="M168">
        <v>0</v>
      </c>
      <c r="N168" t="s">
        <v>30</v>
      </c>
      <c r="O168">
        <v>0</v>
      </c>
      <c r="P168" t="s">
        <v>116</v>
      </c>
      <c r="Q168">
        <v>0</v>
      </c>
      <c r="AF168" t="s">
        <v>22</v>
      </c>
      <c r="AG168">
        <f>(+C168+G168+O168)</f>
        <v>0</v>
      </c>
      <c r="AH168">
        <f>(+G168+M168+O168+Q168)</f>
        <v>0</v>
      </c>
      <c r="AI168">
        <f>(+E168+G168+O168+Q168)</f>
        <v>0</v>
      </c>
      <c r="AJ168">
        <f>(+G168+I168+K168+M168+Q168)</f>
        <v>0</v>
      </c>
      <c r="AK168">
        <f>(+C168+G168+I168+O168+Q168)</f>
        <v>0</v>
      </c>
      <c r="AL168">
        <f>(+C168+M168+Q168)</f>
        <v>0</v>
      </c>
      <c r="AM168">
        <f>(+K168+M168+O168)</f>
        <v>0</v>
      </c>
      <c r="AV168" t="s">
        <v>22</v>
      </c>
      <c r="AW168">
        <v>45</v>
      </c>
      <c r="AX168">
        <v>54</v>
      </c>
      <c r="AY168">
        <v>49</v>
      </c>
      <c r="AZ168">
        <v>181</v>
      </c>
      <c r="BA168">
        <v>60</v>
      </c>
      <c r="BB168">
        <v>23</v>
      </c>
      <c r="BC168">
        <v>166</v>
      </c>
      <c r="BD168" t="s">
        <v>22</v>
      </c>
    </row>
    <row r="169" spans="1:59" x14ac:dyDescent="0.25">
      <c r="A169" t="s">
        <v>582</v>
      </c>
      <c r="B169" t="s">
        <v>137</v>
      </c>
      <c r="C169">
        <v>0</v>
      </c>
      <c r="D169" t="s">
        <v>583</v>
      </c>
      <c r="E169">
        <v>0</v>
      </c>
      <c r="F169" t="s">
        <v>330</v>
      </c>
      <c r="G169">
        <v>0</v>
      </c>
      <c r="H169" t="s">
        <v>48</v>
      </c>
      <c r="I169">
        <v>0</v>
      </c>
      <c r="J169" t="s">
        <v>510</v>
      </c>
      <c r="K169">
        <v>0</v>
      </c>
      <c r="L169" t="s">
        <v>584</v>
      </c>
      <c r="M169">
        <v>0</v>
      </c>
      <c r="N169" t="s">
        <v>116</v>
      </c>
      <c r="O169">
        <v>0</v>
      </c>
      <c r="P169" t="s">
        <v>257</v>
      </c>
      <c r="Q169">
        <v>0</v>
      </c>
      <c r="R169" t="s">
        <v>300</v>
      </c>
      <c r="S169">
        <v>0</v>
      </c>
      <c r="T169" t="s">
        <v>9</v>
      </c>
      <c r="U169">
        <v>0</v>
      </c>
      <c r="AF169" t="s">
        <v>22</v>
      </c>
      <c r="AG169">
        <f>(+C169+E169+G169+K169+M169+Q169+S169)</f>
        <v>0</v>
      </c>
      <c r="AH169">
        <f>(+C169+K169+O169+Q169)</f>
        <v>0</v>
      </c>
      <c r="AI169">
        <f>(+C169+E169+O169+Q169+S169+U169)</f>
        <v>0</v>
      </c>
      <c r="AJ169">
        <f>(+C169+I169+K169+O169+Q169+U169)</f>
        <v>0</v>
      </c>
      <c r="AK169">
        <f>(+C169+M169+O169+S169)</f>
        <v>0</v>
      </c>
      <c r="AL169">
        <f>(+C169+E169+I169+K169+O169+S169)</f>
        <v>0</v>
      </c>
      <c r="AM169">
        <f>(+C169+K169+Q169+S169)</f>
        <v>0</v>
      </c>
      <c r="AN169">
        <f>(+G169+K169+M169+S169)</f>
        <v>0</v>
      </c>
      <c r="AO169">
        <f>(+E169+G169+K169+M169)</f>
        <v>0</v>
      </c>
      <c r="AV169" t="s">
        <v>22</v>
      </c>
      <c r="AW169">
        <v>241</v>
      </c>
      <c r="AX169">
        <v>222</v>
      </c>
      <c r="AY169">
        <v>57</v>
      </c>
      <c r="AZ169">
        <v>237</v>
      </c>
      <c r="BA169">
        <v>57</v>
      </c>
      <c r="BB169">
        <v>237</v>
      </c>
      <c r="BC169">
        <v>210</v>
      </c>
      <c r="BD169">
        <v>212</v>
      </c>
      <c r="BE169">
        <v>212</v>
      </c>
      <c r="BF169" t="s">
        <v>22</v>
      </c>
    </row>
    <row r="170" spans="1:59" x14ac:dyDescent="0.25">
      <c r="A170" t="s">
        <v>585</v>
      </c>
      <c r="B170" t="s">
        <v>291</v>
      </c>
      <c r="C170">
        <v>0</v>
      </c>
      <c r="D170" t="s">
        <v>280</v>
      </c>
      <c r="E170">
        <v>0</v>
      </c>
      <c r="F170" t="s">
        <v>586</v>
      </c>
      <c r="G170">
        <v>0</v>
      </c>
      <c r="H170" t="s">
        <v>499</v>
      </c>
      <c r="I170">
        <v>0</v>
      </c>
      <c r="J170" t="s">
        <v>181</v>
      </c>
      <c r="K170">
        <v>0</v>
      </c>
      <c r="L170" t="s">
        <v>92</v>
      </c>
      <c r="M170">
        <v>0</v>
      </c>
      <c r="N170" t="s">
        <v>587</v>
      </c>
      <c r="O170">
        <v>0</v>
      </c>
      <c r="AF170" t="s">
        <v>22</v>
      </c>
      <c r="AG170">
        <f>(+C170+E170+I170+K170+M170+O170)</f>
        <v>0</v>
      </c>
      <c r="AH170">
        <f>(+E170+I170+K170+M170+O170)</f>
        <v>0</v>
      </c>
      <c r="AI170">
        <f>(+E170+G170+K170)</f>
        <v>0</v>
      </c>
      <c r="AJ170">
        <f>(+E170+G170+I170+K170+M170+O170)</f>
        <v>0</v>
      </c>
      <c r="AK170">
        <f>(+C170+E170+G170+I170+O170)</f>
        <v>0</v>
      </c>
      <c r="AL170">
        <f>(+C170+E170+G170+O170)</f>
        <v>0</v>
      </c>
      <c r="AM170">
        <f>(+G170+I170+K170+M170)</f>
        <v>0</v>
      </c>
      <c r="AN170">
        <f>(+C170+G170+K170+O170)</f>
        <v>0</v>
      </c>
      <c r="AV170" t="s">
        <v>22</v>
      </c>
      <c r="AW170">
        <v>50</v>
      </c>
      <c r="AX170">
        <v>45</v>
      </c>
      <c r="AY170">
        <v>14</v>
      </c>
      <c r="AZ170">
        <v>52</v>
      </c>
      <c r="BA170">
        <v>34</v>
      </c>
      <c r="BB170">
        <v>20</v>
      </c>
      <c r="BC170">
        <v>44</v>
      </c>
      <c r="BD170">
        <v>25</v>
      </c>
      <c r="BE170" t="s">
        <v>22</v>
      </c>
    </row>
    <row r="171" spans="1:59" x14ac:dyDescent="0.25">
      <c r="A171" t="s">
        <v>588</v>
      </c>
      <c r="B171" t="s">
        <v>589</v>
      </c>
      <c r="C171">
        <v>0</v>
      </c>
      <c r="D171" t="s">
        <v>180</v>
      </c>
      <c r="E171">
        <v>0</v>
      </c>
      <c r="F171" t="s">
        <v>494</v>
      </c>
      <c r="G171">
        <v>0</v>
      </c>
      <c r="H171" t="s">
        <v>291</v>
      </c>
      <c r="I171">
        <v>0</v>
      </c>
      <c r="J171" t="s">
        <v>255</v>
      </c>
      <c r="K171">
        <v>0</v>
      </c>
      <c r="L171" t="s">
        <v>70</v>
      </c>
      <c r="M171">
        <v>0</v>
      </c>
      <c r="N171" t="s">
        <v>378</v>
      </c>
      <c r="O171">
        <v>0</v>
      </c>
      <c r="P171" t="s">
        <v>278</v>
      </c>
      <c r="Q171">
        <v>0</v>
      </c>
      <c r="R171" t="s">
        <v>352</v>
      </c>
      <c r="S171">
        <v>0</v>
      </c>
      <c r="AF171" t="s">
        <v>22</v>
      </c>
      <c r="AG171">
        <f>(+E171+G171+I171+M171)</f>
        <v>0</v>
      </c>
      <c r="AH171">
        <f>(+C171+G171+K171+M171+S171)</f>
        <v>0</v>
      </c>
      <c r="AI171">
        <f>(+C171+G171+M171+S171)</f>
        <v>0</v>
      </c>
      <c r="AJ171">
        <f>(+E171+K171+M171)</f>
        <v>0</v>
      </c>
      <c r="AK171">
        <f>(+C171+E171+I171+M171+Q171)</f>
        <v>0</v>
      </c>
      <c r="AL171">
        <f>(+C171+E171+I171+K171+M171)</f>
        <v>0</v>
      </c>
      <c r="AM171">
        <f>(+E171+G171+Q171)</f>
        <v>0</v>
      </c>
      <c r="AN171">
        <f>(+C171+E171+G171+I171+M171+O171+S171)</f>
        <v>0</v>
      </c>
      <c r="AO171">
        <f>(+G171+M171+O171)</f>
        <v>0</v>
      </c>
      <c r="AV171" t="s">
        <v>22</v>
      </c>
      <c r="AW171">
        <v>186</v>
      </c>
      <c r="AX171">
        <v>204</v>
      </c>
      <c r="AY171">
        <v>192</v>
      </c>
      <c r="AZ171">
        <v>23</v>
      </c>
      <c r="BA171">
        <v>31</v>
      </c>
      <c r="BB171">
        <v>28</v>
      </c>
      <c r="BC171">
        <v>188</v>
      </c>
      <c r="BD171">
        <v>194</v>
      </c>
      <c r="BE171">
        <v>184</v>
      </c>
      <c r="BF171" t="s">
        <v>22</v>
      </c>
    </row>
    <row r="172" spans="1:59" x14ac:dyDescent="0.25">
      <c r="A172" t="s">
        <v>590</v>
      </c>
      <c r="B172" t="s">
        <v>220</v>
      </c>
      <c r="C172">
        <v>0</v>
      </c>
      <c r="D172" t="s">
        <v>591</v>
      </c>
      <c r="E172">
        <v>0</v>
      </c>
      <c r="F172" t="s">
        <v>592</v>
      </c>
      <c r="G172">
        <v>0</v>
      </c>
      <c r="H172" t="s">
        <v>540</v>
      </c>
      <c r="I172">
        <v>0</v>
      </c>
      <c r="J172" t="s">
        <v>43</v>
      </c>
      <c r="K172">
        <v>0</v>
      </c>
      <c r="L172" t="s">
        <v>593</v>
      </c>
      <c r="M172">
        <v>0</v>
      </c>
      <c r="N172" t="s">
        <v>330</v>
      </c>
      <c r="O172">
        <v>0</v>
      </c>
      <c r="P172" t="s">
        <v>301</v>
      </c>
      <c r="Q172">
        <v>0</v>
      </c>
      <c r="R172" t="s">
        <v>594</v>
      </c>
      <c r="S172">
        <v>0</v>
      </c>
      <c r="T172" t="s">
        <v>354</v>
      </c>
      <c r="U172">
        <v>0</v>
      </c>
      <c r="V172" t="s">
        <v>113</v>
      </c>
      <c r="W172">
        <v>0</v>
      </c>
      <c r="AF172" t="s">
        <v>22</v>
      </c>
      <c r="AG172">
        <f>(+C172+M172+O172+Q172)</f>
        <v>0</v>
      </c>
      <c r="AH172">
        <f>(+C172+E172+I172+M172+Q172+U172)</f>
        <v>0</v>
      </c>
      <c r="AI172">
        <f>(+C172+E172+G172+K172+S172+U172+W172)</f>
        <v>0</v>
      </c>
      <c r="AJ172">
        <f>(+C172+M172)</f>
        <v>0</v>
      </c>
      <c r="AK172">
        <f>(+C172+E172+K172+M172+U172)</f>
        <v>0</v>
      </c>
      <c r="AL172">
        <f>(+C172+K172+U172)</f>
        <v>0</v>
      </c>
      <c r="AM172">
        <f>(+E172+M172+S172+U172+W172)</f>
        <v>0</v>
      </c>
      <c r="AN172">
        <f>(+C172+E172+G172+O172+Q172+U172)</f>
        <v>0</v>
      </c>
      <c r="AO172">
        <f>(+I172+M172+O172+U172)</f>
        <v>0</v>
      </c>
      <c r="AP172">
        <f>(+C172+E172+G172+M172+S172+U172)</f>
        <v>0</v>
      </c>
      <c r="AV172" t="s">
        <v>22</v>
      </c>
      <c r="AW172">
        <v>38</v>
      </c>
      <c r="AX172">
        <v>53</v>
      </c>
      <c r="AY172">
        <v>79</v>
      </c>
      <c r="AZ172">
        <v>17</v>
      </c>
      <c r="BA172">
        <v>48</v>
      </c>
      <c r="BB172">
        <v>20</v>
      </c>
      <c r="BC172">
        <v>65</v>
      </c>
      <c r="BD172">
        <v>58</v>
      </c>
      <c r="BE172">
        <v>33</v>
      </c>
      <c r="BF172">
        <v>67</v>
      </c>
      <c r="BG172" t="s">
        <v>22</v>
      </c>
    </row>
    <row r="173" spans="1:59" x14ac:dyDescent="0.25">
      <c r="A173" t="s">
        <v>595</v>
      </c>
      <c r="B173" t="s">
        <v>152</v>
      </c>
      <c r="C173">
        <v>0</v>
      </c>
      <c r="D173" t="s">
        <v>39</v>
      </c>
      <c r="E173">
        <v>0</v>
      </c>
      <c r="F173" t="s">
        <v>10</v>
      </c>
      <c r="G173">
        <v>0</v>
      </c>
      <c r="H173" t="s">
        <v>21</v>
      </c>
      <c r="I173">
        <v>0</v>
      </c>
      <c r="AF173" t="s">
        <v>22</v>
      </c>
      <c r="AG173">
        <f>(+C173+E173+G173)</f>
        <v>0</v>
      </c>
      <c r="AH173">
        <f>(+C173+E173+I173)</f>
        <v>0</v>
      </c>
      <c r="AI173">
        <f>(+C173+G173+I173)</f>
        <v>0</v>
      </c>
      <c r="AJ173">
        <f>(+E173)</f>
        <v>0</v>
      </c>
      <c r="AK173">
        <f>(+C173)</f>
        <v>0</v>
      </c>
      <c r="AV173" t="s">
        <v>22</v>
      </c>
      <c r="AW173">
        <v>38</v>
      </c>
      <c r="AX173">
        <v>47</v>
      </c>
      <c r="AY173">
        <v>32</v>
      </c>
      <c r="AZ173">
        <v>18</v>
      </c>
      <c r="BA173">
        <v>17</v>
      </c>
      <c r="BB173" t="s">
        <v>22</v>
      </c>
    </row>
    <row r="174" spans="1:59" x14ac:dyDescent="0.25">
      <c r="A174" t="s">
        <v>596</v>
      </c>
      <c r="B174" t="s">
        <v>341</v>
      </c>
      <c r="C174">
        <v>0</v>
      </c>
      <c r="D174" t="s">
        <v>555</v>
      </c>
      <c r="E174">
        <v>0</v>
      </c>
      <c r="F174" t="s">
        <v>306</v>
      </c>
      <c r="G174">
        <v>0</v>
      </c>
      <c r="H174" t="s">
        <v>597</v>
      </c>
      <c r="I174">
        <v>0</v>
      </c>
      <c r="J174" t="s">
        <v>598</v>
      </c>
      <c r="K174">
        <v>0</v>
      </c>
      <c r="L174" t="s">
        <v>599</v>
      </c>
      <c r="M174">
        <v>0</v>
      </c>
      <c r="N174" t="s">
        <v>600</v>
      </c>
      <c r="O174">
        <v>0</v>
      </c>
      <c r="P174" t="s">
        <v>349</v>
      </c>
      <c r="Q174">
        <v>0</v>
      </c>
      <c r="R174" t="s">
        <v>484</v>
      </c>
      <c r="S174">
        <v>0</v>
      </c>
      <c r="T174" t="s">
        <v>601</v>
      </c>
      <c r="U174">
        <v>0</v>
      </c>
      <c r="V174" t="s">
        <v>602</v>
      </c>
      <c r="W174">
        <v>0</v>
      </c>
      <c r="X174" t="s">
        <v>603</v>
      </c>
      <c r="Y174">
        <v>0</v>
      </c>
      <c r="Z174" t="s">
        <v>604</v>
      </c>
      <c r="AA174">
        <v>0</v>
      </c>
      <c r="AF174" t="s">
        <v>22</v>
      </c>
      <c r="AG174">
        <f>(+C174+G174+M174+O174)</f>
        <v>0</v>
      </c>
      <c r="AH174">
        <f>(+I174+M174+W174+Y174)</f>
        <v>0</v>
      </c>
      <c r="AI174">
        <f>(+C174+G174+I174+M174+O174+W174+AA174)</f>
        <v>0</v>
      </c>
      <c r="AJ174">
        <f>(+E174+I174+K174+O174+S174+U174)</f>
        <v>0</v>
      </c>
      <c r="AK174">
        <f>(+G174+I174+K174+M174+O174+W174)</f>
        <v>0</v>
      </c>
      <c r="AL174">
        <f>(+G174+I174+K174+O174+Q174+W174+AA174)</f>
        <v>0</v>
      </c>
      <c r="AM174">
        <f>(+G174+I174+M174+O174+W174)</f>
        <v>0</v>
      </c>
      <c r="AN174">
        <f>(+I174+K174+O174+U174+W174)</f>
        <v>0</v>
      </c>
      <c r="AO174">
        <f>(+C174+E174+K174+Q174+U174+W174+Y174+AA174)</f>
        <v>0</v>
      </c>
      <c r="AP174">
        <f>(+E174+I174+K174+M174+O174+S174+Y174)</f>
        <v>0</v>
      </c>
      <c r="AV174" t="s">
        <v>22</v>
      </c>
      <c r="AW174">
        <v>54</v>
      </c>
      <c r="AX174">
        <v>44</v>
      </c>
      <c r="AY174">
        <v>88</v>
      </c>
      <c r="AZ174">
        <v>56</v>
      </c>
      <c r="BA174">
        <v>71</v>
      </c>
      <c r="BB174">
        <v>81</v>
      </c>
      <c r="BC174">
        <v>56</v>
      </c>
      <c r="BD174">
        <v>55</v>
      </c>
      <c r="BE174">
        <v>88</v>
      </c>
      <c r="BF174">
        <v>71</v>
      </c>
      <c r="BG174" t="s">
        <v>22</v>
      </c>
    </row>
    <row r="175" spans="1:59" x14ac:dyDescent="0.25">
      <c r="A175" t="s">
        <v>605</v>
      </c>
      <c r="B175" t="s">
        <v>50</v>
      </c>
      <c r="C175">
        <v>0</v>
      </c>
      <c r="D175" t="s">
        <v>106</v>
      </c>
      <c r="E175">
        <v>0</v>
      </c>
      <c r="F175" t="s">
        <v>128</v>
      </c>
      <c r="G175">
        <v>0</v>
      </c>
      <c r="H175" t="s">
        <v>25</v>
      </c>
      <c r="I175">
        <v>0</v>
      </c>
      <c r="J175" t="s">
        <v>202</v>
      </c>
      <c r="K175">
        <v>0</v>
      </c>
      <c r="AF175" t="s">
        <v>22</v>
      </c>
      <c r="AG175">
        <f>(+E175+G175)</f>
        <v>0</v>
      </c>
      <c r="AH175">
        <f>(+C175+G175+K175)</f>
        <v>0</v>
      </c>
      <c r="AI175">
        <f>(+C175+E175)</f>
        <v>0</v>
      </c>
      <c r="AJ175">
        <f>(+C175+I175)</f>
        <v>0</v>
      </c>
      <c r="AK175">
        <f>(+E175+G175+I175+K175)</f>
        <v>0</v>
      </c>
      <c r="AV175" t="s">
        <v>22</v>
      </c>
      <c r="AW175">
        <v>106</v>
      </c>
      <c r="AX175">
        <v>14</v>
      </c>
      <c r="AY175">
        <v>104</v>
      </c>
      <c r="AZ175">
        <v>11</v>
      </c>
      <c r="BA175">
        <v>123</v>
      </c>
      <c r="BB175" t="s">
        <v>22</v>
      </c>
    </row>
    <row r="176" spans="1:59" x14ac:dyDescent="0.25">
      <c r="A176" t="s">
        <v>606</v>
      </c>
      <c r="B176" t="s">
        <v>39</v>
      </c>
      <c r="C176">
        <v>0</v>
      </c>
      <c r="D176" t="s">
        <v>42</v>
      </c>
      <c r="E176">
        <v>0</v>
      </c>
      <c r="F176" t="s">
        <v>122</v>
      </c>
      <c r="G176">
        <v>0</v>
      </c>
      <c r="H176" t="s">
        <v>149</v>
      </c>
      <c r="I176">
        <v>0</v>
      </c>
      <c r="J176" t="s">
        <v>171</v>
      </c>
      <c r="K176">
        <v>0</v>
      </c>
      <c r="AF176" t="s">
        <v>22</v>
      </c>
      <c r="AG176">
        <f>(+C176+G176+K176)</f>
        <v>0</v>
      </c>
      <c r="AH176">
        <f>(+C176+E176+G176+K176)</f>
        <v>0</v>
      </c>
      <c r="AI176">
        <f>(+E176+G176+I176+K176)</f>
        <v>0</v>
      </c>
      <c r="AJ176">
        <f>(+C176)</f>
        <v>0</v>
      </c>
      <c r="AK176">
        <f>(+E176+I176)</f>
        <v>0</v>
      </c>
      <c r="AL176">
        <f>(+I176+K176)</f>
        <v>0</v>
      </c>
      <c r="AM176">
        <f>(+G176+I176)</f>
        <v>0</v>
      </c>
      <c r="AV176" t="s">
        <v>22</v>
      </c>
      <c r="AW176">
        <v>45</v>
      </c>
      <c r="AX176">
        <v>51</v>
      </c>
      <c r="AY176">
        <v>57</v>
      </c>
      <c r="AZ176">
        <v>10</v>
      </c>
      <c r="BA176">
        <v>22</v>
      </c>
      <c r="BB176">
        <v>31</v>
      </c>
      <c r="BC176">
        <v>36</v>
      </c>
      <c r="BD176" t="s">
        <v>22</v>
      </c>
    </row>
    <row r="177" spans="1:59" x14ac:dyDescent="0.25">
      <c r="A177" t="s">
        <v>607</v>
      </c>
      <c r="B177" t="s">
        <v>242</v>
      </c>
      <c r="C177">
        <v>0</v>
      </c>
      <c r="D177" t="s">
        <v>19</v>
      </c>
      <c r="E177">
        <v>0</v>
      </c>
      <c r="F177" t="s">
        <v>196</v>
      </c>
      <c r="G177">
        <v>0</v>
      </c>
      <c r="H177" t="s">
        <v>262</v>
      </c>
      <c r="I177">
        <v>0</v>
      </c>
      <c r="J177" t="s">
        <v>608</v>
      </c>
      <c r="K177">
        <v>0</v>
      </c>
      <c r="L177" t="s">
        <v>456</v>
      </c>
      <c r="M177">
        <v>0</v>
      </c>
      <c r="N177" t="s">
        <v>345</v>
      </c>
      <c r="O177">
        <v>0</v>
      </c>
      <c r="P177" t="s">
        <v>39</v>
      </c>
      <c r="Q177">
        <v>0</v>
      </c>
      <c r="R177" t="s">
        <v>609</v>
      </c>
      <c r="S177">
        <v>0</v>
      </c>
      <c r="T177" t="s">
        <v>78</v>
      </c>
      <c r="U177">
        <v>0</v>
      </c>
      <c r="V177" t="s">
        <v>489</v>
      </c>
      <c r="W177">
        <v>0</v>
      </c>
      <c r="AF177" t="s">
        <v>22</v>
      </c>
      <c r="AG177">
        <f>(+E177+G177+M177+O177+Q177+S177)</f>
        <v>0</v>
      </c>
      <c r="AH177">
        <f>(+K177+M177+O177+Q177+S177)</f>
        <v>0</v>
      </c>
      <c r="AI177">
        <f>(+C177+I177+M177+S177+U177)</f>
        <v>0</v>
      </c>
      <c r="AJ177">
        <f>(+E177+G177+M177+Q177+S177+W177)</f>
        <v>0</v>
      </c>
      <c r="AK177">
        <f>(+E177+K177+S177+U177+W177)</f>
        <v>0</v>
      </c>
      <c r="AL177">
        <f>(+C177+K177+M177+S177+W177)</f>
        <v>0</v>
      </c>
      <c r="AM177">
        <f>(+C177+G177+K177+M177+S177+U177)</f>
        <v>0</v>
      </c>
      <c r="AN177">
        <f>(+C177+I177+U177+W177)</f>
        <v>0</v>
      </c>
      <c r="AO177">
        <f>(+K177+M177+S177+W177)</f>
        <v>0</v>
      </c>
      <c r="AP177">
        <f>(+K177+M177+O177)</f>
        <v>0</v>
      </c>
      <c r="AV177" t="s">
        <v>22</v>
      </c>
      <c r="AW177">
        <v>77</v>
      </c>
      <c r="AX177">
        <v>54</v>
      </c>
      <c r="AY177">
        <v>43</v>
      </c>
      <c r="AZ177">
        <v>206</v>
      </c>
      <c r="BA177">
        <v>165</v>
      </c>
      <c r="BB177">
        <v>178</v>
      </c>
      <c r="BC177">
        <v>57</v>
      </c>
      <c r="BD177">
        <v>163</v>
      </c>
      <c r="BE177">
        <v>165</v>
      </c>
      <c r="BF177">
        <v>33</v>
      </c>
      <c r="BG177" t="s">
        <v>22</v>
      </c>
    </row>
    <row r="178" spans="1:59" x14ac:dyDescent="0.25">
      <c r="A178" t="s">
        <v>610</v>
      </c>
      <c r="B178" t="s">
        <v>7</v>
      </c>
      <c r="C178">
        <v>0</v>
      </c>
      <c r="D178" t="s">
        <v>8</v>
      </c>
      <c r="E178">
        <v>0</v>
      </c>
      <c r="F178" t="s">
        <v>83</v>
      </c>
      <c r="G178">
        <v>0</v>
      </c>
      <c r="H178" t="s">
        <v>611</v>
      </c>
      <c r="I178">
        <v>0</v>
      </c>
      <c r="J178" t="s">
        <v>612</v>
      </c>
      <c r="K178">
        <v>0</v>
      </c>
      <c r="L178" t="s">
        <v>613</v>
      </c>
      <c r="M178">
        <v>0</v>
      </c>
      <c r="N178" t="s">
        <v>614</v>
      </c>
      <c r="O178">
        <v>0</v>
      </c>
      <c r="P178" t="s">
        <v>615</v>
      </c>
      <c r="Q178">
        <v>0</v>
      </c>
      <c r="R178" t="s">
        <v>24</v>
      </c>
      <c r="S178">
        <v>0</v>
      </c>
      <c r="T178" t="s">
        <v>413</v>
      </c>
      <c r="U178">
        <v>0</v>
      </c>
      <c r="V178" t="s">
        <v>44</v>
      </c>
      <c r="W178">
        <v>0</v>
      </c>
      <c r="AF178" t="s">
        <v>22</v>
      </c>
      <c r="AG178">
        <f>(+M178+O178)</f>
        <v>0</v>
      </c>
      <c r="AH178">
        <f>(+C178+Q178+U178)</f>
        <v>0</v>
      </c>
      <c r="AI178">
        <f>(+E178+I178+K178+S178+U178)</f>
        <v>0</v>
      </c>
      <c r="AJ178">
        <f>(+C178+G178+I178+K178+M178+O178+U178)</f>
        <v>0</v>
      </c>
      <c r="AK178">
        <f>(+K178+M178+O178+Q178+S178+U178+W178)</f>
        <v>0</v>
      </c>
      <c r="AL178">
        <f>(+G178+K178+U178+W178)</f>
        <v>0</v>
      </c>
      <c r="AM178">
        <f>(+G178+I178+K178+M178+U178)</f>
        <v>0</v>
      </c>
      <c r="AN178">
        <f>(+I178+M178+O178+Q178)</f>
        <v>0</v>
      </c>
      <c r="AO178">
        <f>(+K178+M178+Q178+U178)</f>
        <v>0</v>
      </c>
      <c r="AV178" t="s">
        <v>22</v>
      </c>
      <c r="AW178">
        <v>19</v>
      </c>
      <c r="AX178">
        <v>40</v>
      </c>
      <c r="AY178">
        <v>74</v>
      </c>
      <c r="AZ178">
        <v>82</v>
      </c>
      <c r="BA178">
        <v>96</v>
      </c>
      <c r="BB178">
        <v>52</v>
      </c>
      <c r="BC178">
        <v>59</v>
      </c>
      <c r="BD178">
        <v>54</v>
      </c>
      <c r="BE178">
        <v>56</v>
      </c>
      <c r="BF178" t="s">
        <v>22</v>
      </c>
    </row>
    <row r="179" spans="1:59" x14ac:dyDescent="0.25">
      <c r="A179" t="s">
        <v>616</v>
      </c>
      <c r="B179" t="s">
        <v>617</v>
      </c>
      <c r="C179">
        <v>0</v>
      </c>
      <c r="D179" t="s">
        <v>14</v>
      </c>
      <c r="E179">
        <v>0</v>
      </c>
      <c r="F179" t="s">
        <v>280</v>
      </c>
      <c r="G179">
        <v>0</v>
      </c>
      <c r="H179" t="s">
        <v>42</v>
      </c>
      <c r="I179">
        <v>0</v>
      </c>
      <c r="J179" t="s">
        <v>54</v>
      </c>
      <c r="K179">
        <v>0</v>
      </c>
      <c r="AF179" t="s">
        <v>22</v>
      </c>
      <c r="AG179">
        <f>(+C179+E179+G179)</f>
        <v>0</v>
      </c>
      <c r="AH179">
        <f>(+G179+I179+K179)</f>
        <v>0</v>
      </c>
      <c r="AI179">
        <f>(+G179+I179+K179)</f>
        <v>0</v>
      </c>
      <c r="AJ179">
        <f>(+C179+G179+K179)</f>
        <v>0</v>
      </c>
      <c r="AK179">
        <f>(+C179+E179+G179+I179)</f>
        <v>0</v>
      </c>
      <c r="AL179">
        <f>(+G179+K179)</f>
        <v>0</v>
      </c>
      <c r="AM179">
        <f>(+C179+K179)</f>
        <v>0</v>
      </c>
      <c r="AV179" t="s">
        <v>22</v>
      </c>
      <c r="AW179">
        <v>24</v>
      </c>
      <c r="AX179">
        <v>17</v>
      </c>
      <c r="AY179">
        <v>17</v>
      </c>
      <c r="AZ179">
        <v>16</v>
      </c>
      <c r="BA179">
        <v>25</v>
      </c>
      <c r="BB179">
        <v>16</v>
      </c>
      <c r="BC179">
        <v>1</v>
      </c>
      <c r="BD179" t="s">
        <v>22</v>
      </c>
    </row>
    <row r="180" spans="1:59" x14ac:dyDescent="0.25">
      <c r="A180" t="s">
        <v>618</v>
      </c>
      <c r="B180" t="s">
        <v>228</v>
      </c>
      <c r="C180">
        <v>0</v>
      </c>
      <c r="D180" t="s">
        <v>619</v>
      </c>
      <c r="E180">
        <v>0</v>
      </c>
      <c r="F180" t="s">
        <v>190</v>
      </c>
      <c r="G180">
        <v>0</v>
      </c>
      <c r="H180" t="s">
        <v>134</v>
      </c>
      <c r="I180">
        <v>0</v>
      </c>
      <c r="J180" t="s">
        <v>57</v>
      </c>
      <c r="K180">
        <v>0</v>
      </c>
      <c r="L180" t="s">
        <v>222</v>
      </c>
      <c r="M180">
        <v>0</v>
      </c>
      <c r="N180" t="s">
        <v>620</v>
      </c>
      <c r="O180">
        <v>0</v>
      </c>
      <c r="P180" t="s">
        <v>621</v>
      </c>
      <c r="Q180">
        <v>0</v>
      </c>
      <c r="R180" t="s">
        <v>622</v>
      </c>
      <c r="S180">
        <v>0</v>
      </c>
      <c r="T180" t="s">
        <v>520</v>
      </c>
      <c r="U180">
        <v>0</v>
      </c>
      <c r="V180" t="s">
        <v>233</v>
      </c>
      <c r="W180">
        <v>0</v>
      </c>
      <c r="AF180" t="s">
        <v>22</v>
      </c>
      <c r="AG180">
        <f>(+G180+M180+S180+U180+W180)</f>
        <v>0</v>
      </c>
      <c r="AH180">
        <f>(+E180+G180+K180+M180+Q180+W180)</f>
        <v>0</v>
      </c>
      <c r="AI180">
        <f>(+E180+I180+K180+M180+O180+Q180+S180+U180)</f>
        <v>0</v>
      </c>
      <c r="AJ180">
        <f>(+E180+G180+M180+Q180+S180+U180+W180)</f>
        <v>0</v>
      </c>
      <c r="AK180">
        <f>(+C180+G180+M180+O180+S180+U180+W180)</f>
        <v>0</v>
      </c>
      <c r="AL180">
        <f>(+E180+I180+M180+Q180)</f>
        <v>0</v>
      </c>
      <c r="AM180">
        <f>(+I180+K180+U180+W180)</f>
        <v>0</v>
      </c>
      <c r="AN180">
        <f>(+C180+G180+O180+Q180+S180+U180+W180)</f>
        <v>0</v>
      </c>
      <c r="AO180">
        <f>(+E180+M180+O180+Q180+S180+U180+W180)</f>
        <v>0</v>
      </c>
      <c r="AV180" t="s">
        <v>22</v>
      </c>
      <c r="AW180">
        <v>38</v>
      </c>
      <c r="AX180">
        <v>28</v>
      </c>
      <c r="AY180">
        <v>51</v>
      </c>
      <c r="AZ180">
        <v>39</v>
      </c>
      <c r="BA180">
        <v>61</v>
      </c>
      <c r="BB180">
        <v>18</v>
      </c>
      <c r="BC180">
        <v>27</v>
      </c>
      <c r="BD180">
        <v>48</v>
      </c>
      <c r="BE180">
        <v>42</v>
      </c>
      <c r="BF180" t="s">
        <v>22</v>
      </c>
    </row>
    <row r="181" spans="1:59" x14ac:dyDescent="0.25">
      <c r="A181" t="s">
        <v>623</v>
      </c>
      <c r="B181" t="s">
        <v>404</v>
      </c>
      <c r="C181">
        <v>0</v>
      </c>
      <c r="D181" t="s">
        <v>341</v>
      </c>
      <c r="E181">
        <v>0</v>
      </c>
      <c r="F181" t="s">
        <v>624</v>
      </c>
      <c r="G181">
        <v>0</v>
      </c>
      <c r="H181" t="s">
        <v>58</v>
      </c>
      <c r="I181">
        <v>0</v>
      </c>
      <c r="J181" t="s">
        <v>625</v>
      </c>
      <c r="K181">
        <v>0</v>
      </c>
      <c r="L181" t="s">
        <v>626</v>
      </c>
      <c r="M181">
        <v>0</v>
      </c>
      <c r="N181" t="s">
        <v>627</v>
      </c>
      <c r="O181">
        <v>0</v>
      </c>
      <c r="P181" t="s">
        <v>628</v>
      </c>
      <c r="Q181">
        <v>0</v>
      </c>
      <c r="R181" t="s">
        <v>629</v>
      </c>
      <c r="S181">
        <v>0</v>
      </c>
      <c r="AF181" t="s">
        <v>22</v>
      </c>
      <c r="AG181">
        <f>(+E181+G181+K181+M181+Q181)</f>
        <v>0</v>
      </c>
      <c r="AH181">
        <f>(+G181+K181+M181+Q181+S181)</f>
        <v>0</v>
      </c>
      <c r="AI181">
        <f>(+E181+I181+M181+O181+Q181)</f>
        <v>0</v>
      </c>
      <c r="AJ181">
        <f>(+C181+G181+I181+K181+S181)</f>
        <v>0</v>
      </c>
      <c r="AK181">
        <f>(+C181+G181+I181+K181+M181+O181)</f>
        <v>0</v>
      </c>
      <c r="AL181">
        <f>(+G181+I181+K181+Q181+S181)</f>
        <v>0</v>
      </c>
      <c r="AM181">
        <f>(+C181+G181+K181+O181+S181)</f>
        <v>0</v>
      </c>
      <c r="AN181">
        <f>(+G181+K181+M181)</f>
        <v>0</v>
      </c>
      <c r="AO181">
        <f>(+E181+M181+S181)</f>
        <v>0</v>
      </c>
      <c r="AP181">
        <f>(+K181+M181+O181+Q181+S181)</f>
        <v>0</v>
      </c>
      <c r="AV181" t="s">
        <v>22</v>
      </c>
      <c r="AW181">
        <v>28</v>
      </c>
      <c r="AX181">
        <v>36</v>
      </c>
      <c r="AY181">
        <v>36</v>
      </c>
      <c r="AZ181">
        <v>32</v>
      </c>
      <c r="BA181">
        <v>24</v>
      </c>
      <c r="BB181">
        <v>40</v>
      </c>
      <c r="BC181">
        <v>35</v>
      </c>
      <c r="BD181">
        <v>6</v>
      </c>
      <c r="BE181">
        <v>27</v>
      </c>
      <c r="BF181">
        <v>43</v>
      </c>
      <c r="BG181" t="s">
        <v>22</v>
      </c>
    </row>
    <row r="182" spans="1:59" x14ac:dyDescent="0.25">
      <c r="A182" t="s">
        <v>630</v>
      </c>
      <c r="B182" t="s">
        <v>8</v>
      </c>
      <c r="C182">
        <v>0</v>
      </c>
      <c r="D182" t="s">
        <v>9</v>
      </c>
      <c r="E182">
        <v>0</v>
      </c>
      <c r="F182" t="s">
        <v>38</v>
      </c>
      <c r="G182">
        <v>0</v>
      </c>
      <c r="H182" t="s">
        <v>39</v>
      </c>
      <c r="I182">
        <v>0</v>
      </c>
      <c r="AF182" t="s">
        <v>22</v>
      </c>
      <c r="AG182">
        <f>(+I182)</f>
        <v>0</v>
      </c>
      <c r="AH182">
        <f>(+G182+I182)</f>
        <v>0</v>
      </c>
      <c r="AI182">
        <f>(+C182+E182)</f>
        <v>0</v>
      </c>
      <c r="AJ182">
        <f>(+E182+I182)</f>
        <v>0</v>
      </c>
      <c r="AV182" t="s">
        <v>22</v>
      </c>
      <c r="AW182">
        <v>16</v>
      </c>
      <c r="AX182">
        <v>19</v>
      </c>
      <c r="AY182">
        <v>17</v>
      </c>
      <c r="AZ182">
        <v>21</v>
      </c>
      <c r="BA182" t="s">
        <v>22</v>
      </c>
    </row>
    <row r="183" spans="1:59" x14ac:dyDescent="0.25">
      <c r="A183" t="s">
        <v>631</v>
      </c>
      <c r="B183" t="s">
        <v>9</v>
      </c>
      <c r="C183">
        <v>0</v>
      </c>
      <c r="D183" t="s">
        <v>50</v>
      </c>
      <c r="E183">
        <v>0</v>
      </c>
      <c r="F183" t="s">
        <v>15</v>
      </c>
      <c r="G183">
        <v>0</v>
      </c>
      <c r="H183" t="s">
        <v>11</v>
      </c>
      <c r="I183">
        <v>0</v>
      </c>
      <c r="AF183" t="s">
        <v>22</v>
      </c>
      <c r="AG183">
        <f>(+G183+I183)</f>
        <v>0</v>
      </c>
      <c r="AH183">
        <f>(+E183+G183+I183)</f>
        <v>0</v>
      </c>
      <c r="AI183">
        <f>(+C183+E183+G183)</f>
        <v>0</v>
      </c>
      <c r="AJ183">
        <f>(+C183+E183)</f>
        <v>0</v>
      </c>
      <c r="AV183" t="s">
        <v>22</v>
      </c>
      <c r="AW183">
        <v>174</v>
      </c>
      <c r="AX183">
        <v>186</v>
      </c>
      <c r="AY183">
        <v>21</v>
      </c>
      <c r="AZ183">
        <v>20</v>
      </c>
      <c r="BA183" t="s">
        <v>22</v>
      </c>
    </row>
    <row r="184" spans="1:59" x14ac:dyDescent="0.25">
      <c r="A184" t="s">
        <v>632</v>
      </c>
      <c r="B184" t="s">
        <v>47</v>
      </c>
      <c r="C184">
        <v>0</v>
      </c>
      <c r="D184" t="s">
        <v>50</v>
      </c>
      <c r="E184">
        <v>0</v>
      </c>
      <c r="F184" t="s">
        <v>9</v>
      </c>
      <c r="G184">
        <v>0</v>
      </c>
      <c r="H184" t="s">
        <v>253</v>
      </c>
      <c r="I184">
        <v>0</v>
      </c>
      <c r="J184" t="s">
        <v>40</v>
      </c>
      <c r="K184">
        <v>0</v>
      </c>
      <c r="L184" t="s">
        <v>38</v>
      </c>
      <c r="M184">
        <v>0</v>
      </c>
      <c r="AF184" t="s">
        <v>22</v>
      </c>
      <c r="AG184">
        <f>(+C184+I184+K184)</f>
        <v>0</v>
      </c>
      <c r="AH184">
        <f>(+E184+M184)</f>
        <v>0</v>
      </c>
      <c r="AI184">
        <f>(+E184+G184+K184)</f>
        <v>0</v>
      </c>
      <c r="AJ184">
        <f>(+C184+E184+G184+K184)</f>
        <v>0</v>
      </c>
      <c r="AV184" t="s">
        <v>22</v>
      </c>
      <c r="AW184">
        <v>16</v>
      </c>
      <c r="AX184">
        <v>18</v>
      </c>
      <c r="AY184">
        <v>28</v>
      </c>
      <c r="AZ184">
        <v>28</v>
      </c>
      <c r="BA184" t="s">
        <v>22</v>
      </c>
    </row>
    <row r="185" spans="1:59" x14ac:dyDescent="0.25">
      <c r="A185" t="s">
        <v>633</v>
      </c>
      <c r="B185" t="s">
        <v>87</v>
      </c>
      <c r="C185">
        <v>0</v>
      </c>
      <c r="D185" t="s">
        <v>143</v>
      </c>
      <c r="E185">
        <v>0</v>
      </c>
      <c r="F185" t="s">
        <v>634</v>
      </c>
      <c r="G185">
        <v>0</v>
      </c>
      <c r="H185" t="s">
        <v>540</v>
      </c>
      <c r="I185">
        <v>0</v>
      </c>
      <c r="J185" t="s">
        <v>635</v>
      </c>
      <c r="K185">
        <v>0</v>
      </c>
      <c r="L185" t="s">
        <v>15</v>
      </c>
      <c r="M185">
        <v>0</v>
      </c>
      <c r="N185" t="s">
        <v>63</v>
      </c>
      <c r="O185">
        <v>0</v>
      </c>
      <c r="P185" t="s">
        <v>119</v>
      </c>
      <c r="Q185">
        <v>0</v>
      </c>
      <c r="R185" t="s">
        <v>118</v>
      </c>
      <c r="S185">
        <v>0</v>
      </c>
      <c r="AF185" t="s">
        <v>22</v>
      </c>
      <c r="AG185">
        <f>(+E185+G185+M185+O185)</f>
        <v>0</v>
      </c>
      <c r="AH185">
        <f>(+C185+I185+K185+M185+S185)</f>
        <v>0</v>
      </c>
      <c r="AI185">
        <f>(+E185+M185+O185)</f>
        <v>0</v>
      </c>
      <c r="AJ185">
        <f>(+C185+E185+G185+Q185+S185)</f>
        <v>0</v>
      </c>
      <c r="AK185">
        <f>(+E185+K185+O185+Q185+S185)</f>
        <v>0</v>
      </c>
      <c r="AL185">
        <f>(+G185+K185+Q185)</f>
        <v>0</v>
      </c>
      <c r="AM185">
        <f>(+C185+E185+K185+O185)</f>
        <v>0</v>
      </c>
      <c r="AN185">
        <f>(+E185+G185+K185+O185)</f>
        <v>0</v>
      </c>
      <c r="AO185">
        <f>(+G185+I185+O185)</f>
        <v>0</v>
      </c>
      <c r="AV185" t="s">
        <v>22</v>
      </c>
      <c r="AW185">
        <v>39</v>
      </c>
      <c r="AX185">
        <v>59</v>
      </c>
      <c r="AY185">
        <v>20</v>
      </c>
      <c r="AZ185">
        <v>48</v>
      </c>
      <c r="BA185">
        <v>34</v>
      </c>
      <c r="BB185">
        <v>30</v>
      </c>
      <c r="BC185">
        <v>17</v>
      </c>
      <c r="BD185">
        <v>31</v>
      </c>
      <c r="BE185">
        <v>44</v>
      </c>
      <c r="BF185" t="s">
        <v>22</v>
      </c>
    </row>
    <row r="186" spans="1:59" x14ac:dyDescent="0.25">
      <c r="A186" t="s">
        <v>636</v>
      </c>
      <c r="B186" t="s">
        <v>637</v>
      </c>
      <c r="C186">
        <v>0</v>
      </c>
      <c r="D186" t="s">
        <v>52</v>
      </c>
      <c r="E186">
        <v>0</v>
      </c>
      <c r="F186" t="s">
        <v>638</v>
      </c>
      <c r="G186">
        <v>0</v>
      </c>
      <c r="H186" t="s">
        <v>639</v>
      </c>
      <c r="I186">
        <v>0</v>
      </c>
      <c r="J186" t="s">
        <v>640</v>
      </c>
      <c r="K186">
        <v>0</v>
      </c>
      <c r="L186" t="s">
        <v>641</v>
      </c>
      <c r="M186">
        <v>0</v>
      </c>
      <c r="N186" t="s">
        <v>642</v>
      </c>
      <c r="O186">
        <v>0</v>
      </c>
      <c r="P186" t="s">
        <v>202</v>
      </c>
      <c r="Q186">
        <v>0</v>
      </c>
      <c r="R186" t="s">
        <v>383</v>
      </c>
      <c r="S186">
        <v>0</v>
      </c>
      <c r="T186" t="s">
        <v>643</v>
      </c>
      <c r="U186">
        <v>0</v>
      </c>
      <c r="AF186" t="s">
        <v>22</v>
      </c>
      <c r="AG186">
        <f>(+M186+O186+S186)</f>
        <v>0</v>
      </c>
      <c r="AH186">
        <f>(+C186+G186+K186+Q186+U186)</f>
        <v>0</v>
      </c>
      <c r="AI186">
        <f>(+C186+I186+U186)</f>
        <v>0</v>
      </c>
      <c r="AJ186">
        <f>(+C186+K186+M186+O186)</f>
        <v>0</v>
      </c>
      <c r="AK186">
        <f>(+E186+K186+O186+Q186+U186)</f>
        <v>0</v>
      </c>
      <c r="AL186">
        <f>(+C186+G186+I186+O186)</f>
        <v>0</v>
      </c>
      <c r="AM186">
        <f>(+C186+G186+I186+O186+U186)</f>
        <v>0</v>
      </c>
      <c r="AN186">
        <f>(+O186+S186)</f>
        <v>0</v>
      </c>
      <c r="AO186">
        <f>(+C186+I186+K186+M186+O186)</f>
        <v>0</v>
      </c>
      <c r="AP186">
        <f>(+G186+I186+O186+U186)</f>
        <v>0</v>
      </c>
      <c r="AV186" t="s">
        <v>22</v>
      </c>
      <c r="AW186">
        <v>11</v>
      </c>
      <c r="AX186">
        <v>213</v>
      </c>
      <c r="AY186">
        <v>12</v>
      </c>
      <c r="AZ186">
        <v>33</v>
      </c>
      <c r="BA186">
        <v>230</v>
      </c>
      <c r="BB186">
        <v>26</v>
      </c>
      <c r="BC186">
        <v>27</v>
      </c>
      <c r="BD186">
        <v>11</v>
      </c>
      <c r="BE186">
        <v>40</v>
      </c>
      <c r="BF186">
        <v>23</v>
      </c>
      <c r="BG186" t="s">
        <v>22</v>
      </c>
    </row>
    <row r="187" spans="1:59" x14ac:dyDescent="0.25">
      <c r="A187" t="s">
        <v>644</v>
      </c>
      <c r="B187" t="s">
        <v>645</v>
      </c>
      <c r="C187">
        <v>0</v>
      </c>
      <c r="D187" t="s">
        <v>634</v>
      </c>
      <c r="E187">
        <v>0</v>
      </c>
      <c r="F187" t="s">
        <v>646</v>
      </c>
      <c r="G187">
        <v>0</v>
      </c>
      <c r="H187" t="s">
        <v>647</v>
      </c>
      <c r="I187">
        <v>0</v>
      </c>
      <c r="J187" t="s">
        <v>30</v>
      </c>
      <c r="K187">
        <v>0</v>
      </c>
      <c r="L187" t="s">
        <v>269</v>
      </c>
      <c r="M187">
        <v>0</v>
      </c>
      <c r="N187" t="s">
        <v>291</v>
      </c>
      <c r="O187">
        <v>0</v>
      </c>
      <c r="AF187" t="s">
        <v>22</v>
      </c>
      <c r="AG187">
        <f>(+E187+G187+K187+O187)</f>
        <v>0</v>
      </c>
      <c r="AH187">
        <f>(+I187+K187+M187)</f>
        <v>0</v>
      </c>
      <c r="AI187">
        <f>(+C187+G187+K187)</f>
        <v>0</v>
      </c>
      <c r="AJ187">
        <f>(+E187+G187+M187)</f>
        <v>0</v>
      </c>
      <c r="AK187">
        <f>(+I187+K187+M187+O187)</f>
        <v>0</v>
      </c>
      <c r="AL187">
        <f>(+C187+E187+G187+I187+O187)</f>
        <v>0</v>
      </c>
      <c r="AM187">
        <f>(+C187+K187+M187)</f>
        <v>0</v>
      </c>
      <c r="AN187">
        <f>(+C187+E187+G187+I187+M187+O187)</f>
        <v>0</v>
      </c>
      <c r="AO187">
        <f>(+C187+E187+G187+I187+M187)</f>
        <v>0</v>
      </c>
      <c r="AV187" t="s">
        <v>22</v>
      </c>
      <c r="AW187">
        <v>43</v>
      </c>
      <c r="AX187">
        <v>26</v>
      </c>
      <c r="AY187">
        <v>39</v>
      </c>
      <c r="AZ187">
        <v>19</v>
      </c>
      <c r="BA187">
        <v>39</v>
      </c>
      <c r="BB187">
        <v>47</v>
      </c>
      <c r="BC187">
        <v>36</v>
      </c>
      <c r="BD187">
        <v>52</v>
      </c>
      <c r="BE187">
        <v>39</v>
      </c>
      <c r="BF187" t="s">
        <v>22</v>
      </c>
    </row>
    <row r="188" spans="1:59" x14ac:dyDescent="0.25">
      <c r="A188" t="s">
        <v>648</v>
      </c>
      <c r="B188" t="s">
        <v>7</v>
      </c>
      <c r="C188">
        <v>0</v>
      </c>
      <c r="D188" t="s">
        <v>303</v>
      </c>
      <c r="E188">
        <v>0</v>
      </c>
      <c r="F188" t="s">
        <v>296</v>
      </c>
      <c r="G188">
        <v>0</v>
      </c>
      <c r="H188" t="s">
        <v>237</v>
      </c>
      <c r="I188">
        <v>0</v>
      </c>
      <c r="J188" t="s">
        <v>114</v>
      </c>
      <c r="K188">
        <v>0</v>
      </c>
      <c r="L188" t="s">
        <v>34</v>
      </c>
      <c r="M188">
        <v>0</v>
      </c>
      <c r="N188" t="s">
        <v>196</v>
      </c>
      <c r="O188">
        <v>0</v>
      </c>
      <c r="AF188" t="s">
        <v>22</v>
      </c>
      <c r="AG188">
        <f>(+E188+G188+K188+M188+O188)</f>
        <v>0</v>
      </c>
      <c r="AH188">
        <f>(+C188+K188)</f>
        <v>0</v>
      </c>
      <c r="AI188">
        <f>(+E188+K188+M188)</f>
        <v>0</v>
      </c>
      <c r="AJ188">
        <f>(+C188+G188+K188+M188+O188)</f>
        <v>0</v>
      </c>
      <c r="AK188">
        <f>(+I188+M188)</f>
        <v>0</v>
      </c>
      <c r="AL188">
        <f>(+G188+I188+K188+M188)</f>
        <v>0</v>
      </c>
      <c r="AM188">
        <f>(+E188+G188+I188+O188)</f>
        <v>0</v>
      </c>
      <c r="AV188" t="s">
        <v>22</v>
      </c>
      <c r="AW188">
        <v>184</v>
      </c>
      <c r="AX188">
        <v>38</v>
      </c>
      <c r="AY188">
        <v>30</v>
      </c>
      <c r="AZ188">
        <v>194</v>
      </c>
      <c r="BA188">
        <v>18</v>
      </c>
      <c r="BB188">
        <v>43</v>
      </c>
      <c r="BC188">
        <v>178</v>
      </c>
      <c r="BD188" t="s">
        <v>22</v>
      </c>
    </row>
    <row r="189" spans="1:59" x14ac:dyDescent="0.25">
      <c r="A189" t="s">
        <v>649</v>
      </c>
      <c r="B189" t="s">
        <v>39</v>
      </c>
      <c r="C189">
        <v>0</v>
      </c>
      <c r="D189" t="s">
        <v>15</v>
      </c>
      <c r="E189">
        <v>0</v>
      </c>
      <c r="F189" t="s">
        <v>21</v>
      </c>
      <c r="G189">
        <v>0</v>
      </c>
      <c r="H189" t="s">
        <v>6</v>
      </c>
      <c r="I189">
        <v>0</v>
      </c>
      <c r="J189" t="s">
        <v>202</v>
      </c>
      <c r="K189">
        <v>0</v>
      </c>
      <c r="AF189" t="s">
        <v>22</v>
      </c>
      <c r="AG189">
        <f>(+C189+E189)</f>
        <v>0</v>
      </c>
      <c r="AH189">
        <f>(+C189+E189+G189+K189)</f>
        <v>0</v>
      </c>
      <c r="AI189">
        <f>(+E189+G189)</f>
        <v>0</v>
      </c>
      <c r="AJ189">
        <f>(+C189+I189)</f>
        <v>0</v>
      </c>
      <c r="AK189">
        <f>(+K189)</f>
        <v>0</v>
      </c>
      <c r="AV189" t="s">
        <v>22</v>
      </c>
      <c r="AW189">
        <v>23</v>
      </c>
      <c r="AX189">
        <v>46</v>
      </c>
      <c r="AY189">
        <v>16</v>
      </c>
      <c r="AZ189">
        <v>23</v>
      </c>
      <c r="BA189">
        <v>19</v>
      </c>
      <c r="BB189" t="s">
        <v>22</v>
      </c>
    </row>
    <row r="190" spans="1:59" x14ac:dyDescent="0.25">
      <c r="A190" t="s">
        <v>650</v>
      </c>
      <c r="B190" t="s">
        <v>651</v>
      </c>
      <c r="C190">
        <v>0</v>
      </c>
      <c r="D190" t="s">
        <v>536</v>
      </c>
      <c r="E190">
        <v>0</v>
      </c>
      <c r="F190" t="s">
        <v>652</v>
      </c>
      <c r="G190">
        <v>0</v>
      </c>
      <c r="H190" t="s">
        <v>423</v>
      </c>
      <c r="I190">
        <v>0</v>
      </c>
      <c r="J190" t="s">
        <v>489</v>
      </c>
      <c r="K190">
        <v>0</v>
      </c>
      <c r="L190" t="s">
        <v>131</v>
      </c>
      <c r="M190">
        <v>0</v>
      </c>
      <c r="N190" t="s">
        <v>653</v>
      </c>
      <c r="O190">
        <v>0</v>
      </c>
      <c r="P190" t="s">
        <v>654</v>
      </c>
      <c r="Q190">
        <v>0</v>
      </c>
      <c r="R190" t="s">
        <v>655</v>
      </c>
      <c r="S190">
        <v>0</v>
      </c>
      <c r="T190" t="s">
        <v>656</v>
      </c>
      <c r="U190">
        <v>0</v>
      </c>
      <c r="V190" t="s">
        <v>657</v>
      </c>
      <c r="W190">
        <v>0</v>
      </c>
      <c r="X190" t="s">
        <v>142</v>
      </c>
      <c r="Y190">
        <v>0</v>
      </c>
      <c r="Z190" t="s">
        <v>658</v>
      </c>
      <c r="AA190">
        <v>0</v>
      </c>
      <c r="AF190" t="s">
        <v>22</v>
      </c>
      <c r="AG190">
        <f>(+E190+G190+U190+Y190+AA190)</f>
        <v>0</v>
      </c>
      <c r="AH190">
        <f>(+C190+E190+G190+M190+O190+Q190+U190+Y190)</f>
        <v>0</v>
      </c>
      <c r="AI190">
        <f>(+C190+E190+G190+M190+O190+Q190+W190+Y190)</f>
        <v>0</v>
      </c>
      <c r="AJ190">
        <f>(+E190+K190+U190+W190+AA190)</f>
        <v>0</v>
      </c>
      <c r="AK190">
        <f>(+C190+E190+K190+U190+W190+Y190)</f>
        <v>0</v>
      </c>
      <c r="AL190">
        <f>(+G190+I190+K190+M190+O190+Q190+S190+U190+W190+Y190)</f>
        <v>0</v>
      </c>
      <c r="AM190">
        <f>(+C190+O190+Q190+S190+W190+Y190)</f>
        <v>0</v>
      </c>
      <c r="AN190">
        <f>(+C190+G190+K190+Q190+U190+Y190)</f>
        <v>0</v>
      </c>
      <c r="AO190">
        <f>(+C190+E190+G190+K190+Q190+S190+U190+W190+Y190)</f>
        <v>0</v>
      </c>
      <c r="AP190">
        <f>(+G190+O190+Q190+S190+U190+W190+AA190)</f>
        <v>0</v>
      </c>
      <c r="AV190" t="s">
        <v>22</v>
      </c>
      <c r="AW190">
        <v>29</v>
      </c>
      <c r="AX190">
        <v>69</v>
      </c>
      <c r="AY190">
        <v>76</v>
      </c>
      <c r="AZ190">
        <v>47</v>
      </c>
      <c r="BA190">
        <v>68</v>
      </c>
      <c r="BB190">
        <v>245</v>
      </c>
      <c r="BC190">
        <v>70</v>
      </c>
      <c r="BD190">
        <v>62</v>
      </c>
      <c r="BE190">
        <v>94</v>
      </c>
      <c r="BF190">
        <v>55</v>
      </c>
      <c r="BG190" t="s">
        <v>22</v>
      </c>
    </row>
    <row r="191" spans="1:59" x14ac:dyDescent="0.25">
      <c r="A191" t="s">
        <v>659</v>
      </c>
      <c r="B191" t="s">
        <v>171</v>
      </c>
      <c r="C191">
        <v>0</v>
      </c>
      <c r="D191" t="s">
        <v>11</v>
      </c>
      <c r="E191">
        <v>0</v>
      </c>
      <c r="F191" t="s">
        <v>45</v>
      </c>
      <c r="G191">
        <v>0</v>
      </c>
      <c r="H191" t="s">
        <v>510</v>
      </c>
      <c r="I191">
        <v>0</v>
      </c>
      <c r="J191" t="s">
        <v>602</v>
      </c>
      <c r="K191">
        <v>0</v>
      </c>
      <c r="L191" t="s">
        <v>44</v>
      </c>
      <c r="M191">
        <v>0</v>
      </c>
      <c r="N191" t="s">
        <v>660</v>
      </c>
      <c r="O191">
        <v>0</v>
      </c>
      <c r="P191" t="s">
        <v>661</v>
      </c>
      <c r="Q191">
        <v>0</v>
      </c>
      <c r="R191" t="s">
        <v>541</v>
      </c>
      <c r="S191">
        <v>0</v>
      </c>
      <c r="T191" t="s">
        <v>193</v>
      </c>
      <c r="U191">
        <v>0</v>
      </c>
      <c r="AF191" t="s">
        <v>22</v>
      </c>
      <c r="AG191">
        <f>(+C191+E191+G191+I191+Q191+U191)</f>
        <v>0</v>
      </c>
      <c r="AH191">
        <f>(+C191+E191+I191+K191+Q191+U191)</f>
        <v>0</v>
      </c>
      <c r="AI191">
        <f>(+C191+K191+Q191)</f>
        <v>0</v>
      </c>
      <c r="AJ191">
        <f>(+I191+U191)</f>
        <v>0</v>
      </c>
      <c r="AK191">
        <f>(+K191+M191+U191)</f>
        <v>0</v>
      </c>
      <c r="AL191">
        <f>(+C191+G191+I191+K191+M191+O191+Q191+U191)</f>
        <v>0</v>
      </c>
      <c r="AM191">
        <f>(+I191+K191+O191+S191)</f>
        <v>0</v>
      </c>
      <c r="AN191">
        <f>(+I191+K191+O191+Q191)</f>
        <v>0</v>
      </c>
      <c r="AO191">
        <f>(+I191+K191+O191+Q191+S191)</f>
        <v>0</v>
      </c>
      <c r="AV191" t="s">
        <v>22</v>
      </c>
      <c r="AW191">
        <v>205</v>
      </c>
      <c r="AX191">
        <v>202</v>
      </c>
      <c r="AY191">
        <v>19</v>
      </c>
      <c r="AZ191">
        <v>167</v>
      </c>
      <c r="BA191">
        <v>29</v>
      </c>
      <c r="BB191">
        <v>232</v>
      </c>
      <c r="BC191">
        <v>201</v>
      </c>
      <c r="BD191">
        <v>195</v>
      </c>
      <c r="BE191">
        <v>205</v>
      </c>
      <c r="BF191" t="s">
        <v>22</v>
      </c>
    </row>
    <row r="192" spans="1:59" x14ac:dyDescent="0.25">
      <c r="A192" t="s">
        <v>662</v>
      </c>
      <c r="B192" t="s">
        <v>44</v>
      </c>
      <c r="C192">
        <v>0</v>
      </c>
      <c r="D192" t="s">
        <v>426</v>
      </c>
      <c r="E192">
        <v>0</v>
      </c>
      <c r="F192" t="s">
        <v>418</v>
      </c>
      <c r="G192">
        <v>0</v>
      </c>
      <c r="H192" t="s">
        <v>106</v>
      </c>
      <c r="I192">
        <v>0</v>
      </c>
      <c r="J192" t="s">
        <v>349</v>
      </c>
      <c r="K192">
        <v>0</v>
      </c>
      <c r="L192" t="s">
        <v>410</v>
      </c>
      <c r="M192">
        <v>0</v>
      </c>
      <c r="N192" t="s">
        <v>663</v>
      </c>
      <c r="O192">
        <v>0</v>
      </c>
      <c r="P192" t="s">
        <v>550</v>
      </c>
      <c r="Q192">
        <v>0</v>
      </c>
      <c r="R192" t="s">
        <v>21</v>
      </c>
      <c r="S192">
        <v>0</v>
      </c>
      <c r="AF192" t="s">
        <v>22</v>
      </c>
      <c r="AG192">
        <f>(+E192+G192+I192+Q192)</f>
        <v>0</v>
      </c>
      <c r="AH192">
        <f>(+E192+G192+M192+O192+Q192+S192)</f>
        <v>0</v>
      </c>
      <c r="AI192">
        <f>(+G192+I192+M192+Q192+S192)</f>
        <v>0</v>
      </c>
      <c r="AJ192">
        <f>(+G192+O192)</f>
        <v>0</v>
      </c>
      <c r="AK192">
        <f>(+C192+E192+G192+I192+Q192)</f>
        <v>0</v>
      </c>
      <c r="AL192">
        <f>(+C192+E192+G192+K192)</f>
        <v>0</v>
      </c>
      <c r="AM192">
        <f>(+G192+M192+O192)</f>
        <v>0</v>
      </c>
      <c r="AN192">
        <f>(+E192+G192+M192+Q192)</f>
        <v>0</v>
      </c>
      <c r="AO192">
        <f>(+K192+O192)</f>
        <v>0</v>
      </c>
      <c r="AV192" t="s">
        <v>22</v>
      </c>
      <c r="AW192">
        <v>40</v>
      </c>
      <c r="AX192">
        <v>53</v>
      </c>
      <c r="AY192">
        <v>42</v>
      </c>
      <c r="AZ192">
        <v>30</v>
      </c>
      <c r="BA192">
        <v>43</v>
      </c>
      <c r="BB192">
        <v>19</v>
      </c>
      <c r="BC192">
        <v>32</v>
      </c>
      <c r="BD192">
        <v>29</v>
      </c>
      <c r="BE192">
        <v>22</v>
      </c>
      <c r="BF192" t="s">
        <v>22</v>
      </c>
    </row>
    <row r="193" spans="1:58" x14ac:dyDescent="0.25">
      <c r="A193" t="s">
        <v>664</v>
      </c>
      <c r="B193" t="s">
        <v>50</v>
      </c>
      <c r="C193">
        <v>0</v>
      </c>
      <c r="D193" t="s">
        <v>15</v>
      </c>
      <c r="E193">
        <v>0</v>
      </c>
      <c r="AF193" t="s">
        <v>22</v>
      </c>
      <c r="AG193">
        <f>(+E193)</f>
        <v>0</v>
      </c>
      <c r="AH193">
        <f>(+C193+E193)</f>
        <v>0</v>
      </c>
      <c r="AI193">
        <f>(+C193+E193)</f>
        <v>0</v>
      </c>
      <c r="AJ193">
        <f>(+C193)</f>
        <v>0</v>
      </c>
      <c r="AV193" t="s">
        <v>22</v>
      </c>
      <c r="AW193">
        <v>143</v>
      </c>
      <c r="AX193">
        <v>162</v>
      </c>
      <c r="AY193">
        <v>162</v>
      </c>
      <c r="AZ193">
        <v>19</v>
      </c>
      <c r="BA193" t="s">
        <v>22</v>
      </c>
    </row>
    <row r="194" spans="1:58" x14ac:dyDescent="0.25">
      <c r="A194" t="s">
        <v>665</v>
      </c>
      <c r="B194" t="s">
        <v>666</v>
      </c>
      <c r="C194">
        <v>0</v>
      </c>
      <c r="D194" t="s">
        <v>667</v>
      </c>
      <c r="E194">
        <v>0</v>
      </c>
      <c r="F194" t="s">
        <v>668</v>
      </c>
      <c r="G194">
        <v>0</v>
      </c>
      <c r="H194" t="s">
        <v>669</v>
      </c>
      <c r="I194">
        <v>0</v>
      </c>
      <c r="J194" t="s">
        <v>661</v>
      </c>
      <c r="K194">
        <v>0</v>
      </c>
      <c r="L194" t="s">
        <v>533</v>
      </c>
      <c r="M194">
        <v>0</v>
      </c>
      <c r="N194" t="s">
        <v>670</v>
      </c>
      <c r="O194">
        <v>0</v>
      </c>
      <c r="P194" t="s">
        <v>318</v>
      </c>
      <c r="Q194">
        <v>0</v>
      </c>
      <c r="R194" t="s">
        <v>39</v>
      </c>
      <c r="S194">
        <v>0</v>
      </c>
      <c r="T194" t="s">
        <v>115</v>
      </c>
      <c r="U194">
        <v>0</v>
      </c>
      <c r="AF194" t="s">
        <v>22</v>
      </c>
      <c r="AG194">
        <f>(+E194+G194+I194+K194+O194+S194)</f>
        <v>0</v>
      </c>
      <c r="AH194">
        <f>(+C194+G194+K194+M194+O194+Q194+S194+U194)</f>
        <v>0</v>
      </c>
      <c r="AI194">
        <f>(+E194+I194+K194+M194+O194+Q194)</f>
        <v>0</v>
      </c>
      <c r="AJ194">
        <f>(+C194+O194+Q194+S194)</f>
        <v>0</v>
      </c>
      <c r="AK194">
        <f>(+E194+G194+M194+Q194)</f>
        <v>0</v>
      </c>
      <c r="AL194">
        <f>(+C194+E194+I194+K194+O194+U194)</f>
        <v>0</v>
      </c>
      <c r="AM194">
        <f>(+G194+M194+O194)</f>
        <v>0</v>
      </c>
      <c r="AN194">
        <f>(+G194+I194+K194+M194+O194+Q194)</f>
        <v>0</v>
      </c>
      <c r="AO194">
        <f>(+C194+E194+G194+K194)</f>
        <v>0</v>
      </c>
      <c r="AV194" t="s">
        <v>22</v>
      </c>
      <c r="AW194">
        <v>87</v>
      </c>
      <c r="AX194">
        <v>106</v>
      </c>
      <c r="AY194">
        <v>85</v>
      </c>
      <c r="AZ194">
        <v>61</v>
      </c>
      <c r="BA194">
        <v>44</v>
      </c>
      <c r="BB194">
        <v>94</v>
      </c>
      <c r="BC194">
        <v>32</v>
      </c>
      <c r="BD194">
        <v>85</v>
      </c>
      <c r="BE194">
        <v>59</v>
      </c>
      <c r="BF194" t="s">
        <v>22</v>
      </c>
    </row>
    <row r="195" spans="1:58" x14ac:dyDescent="0.25">
      <c r="A195" t="s">
        <v>671</v>
      </c>
      <c r="B195" t="s">
        <v>39</v>
      </c>
      <c r="C195">
        <v>0</v>
      </c>
      <c r="D195" t="s">
        <v>50</v>
      </c>
      <c r="E195">
        <v>0</v>
      </c>
      <c r="F195" t="s">
        <v>9</v>
      </c>
      <c r="G195">
        <v>0</v>
      </c>
      <c r="AF195" t="s">
        <v>22</v>
      </c>
      <c r="AG195">
        <f>(+C195)</f>
        <v>0</v>
      </c>
      <c r="AH195">
        <f>(+C195+E195)</f>
        <v>0</v>
      </c>
      <c r="AI195">
        <f>(+E195+G195)</f>
        <v>0</v>
      </c>
      <c r="AJ195">
        <f>(+C195+E195+G195)</f>
        <v>0</v>
      </c>
      <c r="AV195" t="s">
        <v>22</v>
      </c>
      <c r="AW195">
        <v>4</v>
      </c>
      <c r="AX195">
        <v>12</v>
      </c>
      <c r="AY195">
        <v>13</v>
      </c>
      <c r="AZ195">
        <v>17</v>
      </c>
      <c r="BA195" t="s">
        <v>22</v>
      </c>
    </row>
    <row r="196" spans="1:58" x14ac:dyDescent="0.25">
      <c r="A196" t="s">
        <v>672</v>
      </c>
      <c r="B196" t="s">
        <v>118</v>
      </c>
      <c r="C196">
        <v>0</v>
      </c>
      <c r="D196" t="s">
        <v>15</v>
      </c>
      <c r="E196">
        <v>0</v>
      </c>
      <c r="F196" t="s">
        <v>47</v>
      </c>
      <c r="G196">
        <v>0</v>
      </c>
      <c r="H196" t="s">
        <v>16</v>
      </c>
      <c r="I196">
        <v>0</v>
      </c>
      <c r="J196" t="s">
        <v>10</v>
      </c>
      <c r="K196">
        <v>0</v>
      </c>
      <c r="AF196" t="s">
        <v>22</v>
      </c>
      <c r="AG196">
        <f>(+E196+G196+K196)</f>
        <v>0</v>
      </c>
      <c r="AH196">
        <f>(+C196+E196+I196)</f>
        <v>0</v>
      </c>
      <c r="AI196">
        <f>(+E196+I196+K196)</f>
        <v>0</v>
      </c>
      <c r="AJ196">
        <f>(+C196+G196+I196)</f>
        <v>0</v>
      </c>
      <c r="AK196">
        <f>(+C196+I196)</f>
        <v>0</v>
      </c>
      <c r="AV196" t="s">
        <v>22</v>
      </c>
      <c r="AW196">
        <v>21</v>
      </c>
      <c r="AX196">
        <v>16</v>
      </c>
      <c r="AY196">
        <v>8</v>
      </c>
      <c r="AZ196">
        <v>27</v>
      </c>
      <c r="BA196">
        <v>13</v>
      </c>
      <c r="BB196" t="s">
        <v>22</v>
      </c>
    </row>
    <row r="197" spans="1:58" x14ac:dyDescent="0.25">
      <c r="A197" t="s">
        <v>673</v>
      </c>
      <c r="B197" t="s">
        <v>183</v>
      </c>
      <c r="C197">
        <v>0</v>
      </c>
      <c r="D197" t="s">
        <v>87</v>
      </c>
      <c r="E197">
        <v>0</v>
      </c>
      <c r="F197" t="s">
        <v>8</v>
      </c>
      <c r="G197">
        <v>0</v>
      </c>
      <c r="H197" t="s">
        <v>348</v>
      </c>
      <c r="I197">
        <v>0</v>
      </c>
      <c r="J197" t="s">
        <v>499</v>
      </c>
      <c r="K197">
        <v>0</v>
      </c>
      <c r="AF197" t="s">
        <v>22</v>
      </c>
      <c r="AG197">
        <f>(+C197+I197+K197)</f>
        <v>0</v>
      </c>
      <c r="AH197">
        <f>(+C197+E197+I197+K197)</f>
        <v>0</v>
      </c>
      <c r="AI197">
        <f>(+G197)</f>
        <v>0</v>
      </c>
      <c r="AJ197">
        <f>(+E197+K197)</f>
        <v>0</v>
      </c>
      <c r="AK197">
        <f>(+I197+K197)</f>
        <v>0</v>
      </c>
      <c r="AL197">
        <f>(+C197+I197)</f>
        <v>0</v>
      </c>
      <c r="AM197">
        <f>(+C197+E197+I197+K197)</f>
        <v>0</v>
      </c>
      <c r="AV197" t="s">
        <v>22</v>
      </c>
      <c r="AW197">
        <v>122</v>
      </c>
      <c r="AX197">
        <v>126</v>
      </c>
      <c r="AY197">
        <v>2</v>
      </c>
      <c r="AZ197">
        <v>6</v>
      </c>
      <c r="BA197">
        <v>17</v>
      </c>
      <c r="BB197">
        <v>120</v>
      </c>
      <c r="BC197">
        <v>126</v>
      </c>
      <c r="BD197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B574-3D9A-4475-A203-44D663640F3F}">
  <dimension ref="A1:BN197"/>
  <sheetViews>
    <sheetView tabSelected="1" workbookViewId="0">
      <pane xSplit="1" ySplit="1" topLeftCell="AW2" activePane="bottomRight" state="frozen"/>
      <selection pane="topRight" activeCell="B1" sqref="B1"/>
      <selection pane="bottomLeft" activeCell="A2" sqref="A2"/>
      <selection pane="bottomRight" activeCell="BM1" sqref="BM1"/>
    </sheetView>
  </sheetViews>
  <sheetFormatPr defaultRowHeight="12.75" x14ac:dyDescent="0.2"/>
  <cols>
    <col min="1" max="1" width="36.42578125" style="2" bestFit="1" customWidth="1"/>
    <col min="2" max="2" width="19.5703125" style="5" customWidth="1"/>
    <col min="3" max="3" width="6" style="2" customWidth="1"/>
    <col min="4" max="4" width="16.42578125" style="5" customWidth="1"/>
    <col min="5" max="5" width="6" style="2" customWidth="1"/>
    <col min="6" max="6" width="16.140625" style="5" bestFit="1" customWidth="1"/>
    <col min="7" max="7" width="6" style="2" customWidth="1"/>
    <col min="8" max="8" width="14.5703125" style="5" bestFit="1" customWidth="1"/>
    <col min="9" max="9" width="6" style="2" customWidth="1"/>
    <col min="10" max="10" width="14.5703125" style="5" bestFit="1" customWidth="1"/>
    <col min="11" max="11" width="6" style="2" customWidth="1"/>
    <col min="12" max="12" width="16.140625" style="5" bestFit="1" customWidth="1"/>
    <col min="13" max="13" width="6" style="2" customWidth="1"/>
    <col min="14" max="14" width="16.140625" style="5" customWidth="1"/>
    <col min="15" max="15" width="6" style="2" customWidth="1"/>
    <col min="16" max="16" width="14.5703125" style="5" bestFit="1" customWidth="1"/>
    <col min="17" max="17" width="6" style="2" customWidth="1"/>
    <col min="18" max="18" width="13.140625" style="5" customWidth="1"/>
    <col min="19" max="19" width="6" style="2" customWidth="1"/>
    <col min="20" max="20" width="12.85546875" style="5" customWidth="1"/>
    <col min="21" max="21" width="6" style="2" customWidth="1"/>
    <col min="22" max="22" width="9.140625" style="5"/>
    <col min="23" max="23" width="6" style="2" customWidth="1"/>
    <col min="24" max="24" width="9.140625" style="5"/>
    <col min="25" max="25" width="6" style="2" customWidth="1"/>
    <col min="26" max="26" width="9.140625" style="5"/>
    <col min="27" max="27" width="6" style="2" customWidth="1"/>
    <col min="28" max="28" width="3.5703125" style="4" customWidth="1"/>
    <col min="29" max="29" width="8.5703125" style="2" customWidth="1"/>
    <col min="30" max="30" width="3.5703125" style="4" customWidth="1"/>
    <col min="31" max="40" width="7.5703125" style="2" customWidth="1"/>
    <col min="41" max="41" width="3.140625" style="4" customWidth="1"/>
    <col min="42" max="55" width="9.140625" style="2"/>
    <col min="56" max="56" width="9.140625" style="10"/>
    <col min="57" max="57" width="9.140625" style="2"/>
    <col min="58" max="58" width="9.140625" style="10"/>
    <col min="59" max="59" width="9.140625" style="2"/>
    <col min="60" max="60" width="9.140625" style="10"/>
    <col min="61" max="61" width="9.140625" style="2"/>
    <col min="62" max="62" width="9.140625" style="10"/>
    <col min="63" max="16384" width="9.140625" style="2"/>
  </cols>
  <sheetData>
    <row r="1" spans="1:65" x14ac:dyDescent="0.2">
      <c r="A1" s="2" t="s">
        <v>23</v>
      </c>
      <c r="B1" s="5" t="s">
        <v>24</v>
      </c>
      <c r="C1" s="2">
        <v>2</v>
      </c>
      <c r="D1" s="5" t="s">
        <v>25</v>
      </c>
      <c r="E1" s="2">
        <v>8</v>
      </c>
      <c r="F1" s="5" t="s">
        <v>26</v>
      </c>
      <c r="G1" s="3">
        <v>7</v>
      </c>
      <c r="H1" s="5" t="s">
        <v>27</v>
      </c>
      <c r="I1" s="3">
        <v>19</v>
      </c>
      <c r="J1" s="5" t="s">
        <v>28</v>
      </c>
      <c r="K1" s="3">
        <v>13</v>
      </c>
      <c r="AB1" s="4" t="s">
        <v>22</v>
      </c>
      <c r="AC1" s="2" t="b">
        <f t="shared" ref="AC1:AC64" si="0">AND(AE1=AP1,AF1=AQ1,AG1=AR1,AH1=AS1,AI1=AT1,AJ1=AU1,AK1=AV1,AL1=AW1,AM1=AX1,AN1=AY1)</f>
        <v>1</v>
      </c>
      <c r="AE1" s="2">
        <f>(+G1+I1)</f>
        <v>26</v>
      </c>
      <c r="AF1" s="2">
        <f>(+I1+K1)</f>
        <v>32</v>
      </c>
      <c r="AG1" s="2">
        <f>(+C1+G1+I1)</f>
        <v>28</v>
      </c>
      <c r="AH1" s="2">
        <f>(+E1+G1+I1+K1)</f>
        <v>47</v>
      </c>
      <c r="AI1" s="2">
        <f>(+C1+E1+K1)</f>
        <v>23</v>
      </c>
      <c r="AJ1" s="2">
        <f>(+G1+K1)</f>
        <v>20</v>
      </c>
      <c r="AO1" s="4" t="s">
        <v>22</v>
      </c>
      <c r="AP1" s="2">
        <v>26</v>
      </c>
      <c r="AQ1" s="2">
        <v>32</v>
      </c>
      <c r="AR1" s="2">
        <v>28</v>
      </c>
      <c r="AS1" s="2">
        <v>47</v>
      </c>
      <c r="AT1" s="2">
        <v>23</v>
      </c>
      <c r="AU1" s="2">
        <v>20</v>
      </c>
      <c r="BA1" s="2">
        <f t="shared" ref="BA1:BA64" si="1">SUM(B1:AA1)</f>
        <v>49</v>
      </c>
      <c r="BB1" s="11">
        <f>SUM(BA:BA)</f>
        <v>2636</v>
      </c>
      <c r="BD1" s="10">
        <v>49</v>
      </c>
      <c r="BE1" s="2" t="b">
        <f>AND(BD1=BA1,BD1&lt;&gt;0)</f>
        <v>1</v>
      </c>
      <c r="BF1" s="10">
        <v>49</v>
      </c>
      <c r="BG1" s="2" t="b">
        <f>BD1=BF1</f>
        <v>1</v>
      </c>
      <c r="BH1" s="10">
        <v>49</v>
      </c>
      <c r="BI1" s="2" t="b">
        <f>BF1=BH1</f>
        <v>1</v>
      </c>
      <c r="BJ1" s="10">
        <v>49</v>
      </c>
      <c r="BK1" s="2" t="b">
        <f>BH1=BJ1</f>
        <v>1</v>
      </c>
      <c r="BM1" s="2">
        <f>SUM(BJ:BJ)</f>
        <v>20626</v>
      </c>
    </row>
    <row r="2" spans="1:65" x14ac:dyDescent="0.2">
      <c r="A2" s="2" t="s">
        <v>29</v>
      </c>
      <c r="B2" s="5" t="s">
        <v>30</v>
      </c>
      <c r="C2" s="2">
        <v>0</v>
      </c>
      <c r="D2" s="5" t="s">
        <v>31</v>
      </c>
      <c r="E2" s="2">
        <v>0</v>
      </c>
      <c r="F2" s="5" t="s">
        <v>32</v>
      </c>
      <c r="G2" s="2">
        <v>0</v>
      </c>
      <c r="H2" s="5" t="s">
        <v>9</v>
      </c>
      <c r="I2" s="2">
        <v>0</v>
      </c>
      <c r="J2" s="5" t="s">
        <v>33</v>
      </c>
      <c r="K2" s="2">
        <v>0</v>
      </c>
      <c r="L2" s="5" t="s">
        <v>34</v>
      </c>
      <c r="M2" s="2">
        <v>0</v>
      </c>
      <c r="N2" s="5" t="s">
        <v>35</v>
      </c>
      <c r="O2" s="2">
        <v>0</v>
      </c>
      <c r="P2" s="5" t="s">
        <v>24</v>
      </c>
      <c r="Q2" s="2">
        <v>0</v>
      </c>
      <c r="R2" s="5" t="s">
        <v>36</v>
      </c>
      <c r="S2" s="2">
        <v>0</v>
      </c>
      <c r="AB2" s="4" t="s">
        <v>22</v>
      </c>
      <c r="AC2" s="2" t="b">
        <f t="shared" si="0"/>
        <v>0</v>
      </c>
      <c r="AE2" s="2">
        <f>(+C2+G2+K2+M2+S2)</f>
        <v>0</v>
      </c>
      <c r="AF2" s="2">
        <f>(+C2+E2+S2)</f>
        <v>0</v>
      </c>
      <c r="AG2" s="2">
        <f>(+C2+E2+I2+K2+M2+Q2+S2)</f>
        <v>0</v>
      </c>
      <c r="AH2" s="2">
        <f>(+I2+K2+M2+O2)</f>
        <v>0</v>
      </c>
      <c r="AI2" s="2">
        <f>(+C2+E2+K2+M2+O2+Q2)</f>
        <v>0</v>
      </c>
      <c r="AJ2" s="2">
        <f>(+K2+M2+O2+S2)</f>
        <v>0</v>
      </c>
      <c r="AK2" s="2">
        <f>(+C2+E2+G2+K2+O2+S2)</f>
        <v>0</v>
      </c>
      <c r="AO2" s="4" t="s">
        <v>22</v>
      </c>
      <c r="AP2" s="2">
        <v>58</v>
      </c>
      <c r="AQ2" s="2">
        <v>41</v>
      </c>
      <c r="AR2" s="2">
        <v>286</v>
      </c>
      <c r="AS2" s="2">
        <v>233</v>
      </c>
      <c r="AT2" s="2">
        <v>79</v>
      </c>
      <c r="AU2" s="2">
        <v>43</v>
      </c>
      <c r="AV2" s="2">
        <v>63</v>
      </c>
      <c r="BA2" s="2">
        <f t="shared" si="1"/>
        <v>0</v>
      </c>
      <c r="BD2" s="10">
        <v>0</v>
      </c>
      <c r="BE2" s="2" t="b">
        <f>AND(BD2=BA2,BD2&lt;&gt;0)</f>
        <v>0</v>
      </c>
      <c r="BF2" s="10">
        <v>0</v>
      </c>
      <c r="BG2" s="2" t="b">
        <f t="shared" ref="BG2:BG65" si="2">BD2=BF2</f>
        <v>1</v>
      </c>
      <c r="BH2" s="10">
        <v>301</v>
      </c>
      <c r="BI2" s="2" t="b">
        <f t="shared" ref="BI2:BI65" si="3">BF2=BH2</f>
        <v>0</v>
      </c>
      <c r="BJ2" s="10">
        <v>287</v>
      </c>
      <c r="BK2" s="2" t="b">
        <f t="shared" ref="BK2:BK65" si="4">BH2=BJ2</f>
        <v>0</v>
      </c>
    </row>
    <row r="3" spans="1:65" x14ac:dyDescent="0.2">
      <c r="A3" s="2" t="s">
        <v>37</v>
      </c>
      <c r="B3" s="5" t="s">
        <v>38</v>
      </c>
      <c r="C3" s="2">
        <v>0</v>
      </c>
      <c r="D3" s="5" t="s">
        <v>21</v>
      </c>
      <c r="E3" s="2">
        <v>0</v>
      </c>
      <c r="F3" s="5" t="s">
        <v>39</v>
      </c>
      <c r="G3" s="2">
        <v>0</v>
      </c>
      <c r="H3" s="5" t="s">
        <v>9</v>
      </c>
      <c r="I3" s="2">
        <v>0</v>
      </c>
      <c r="J3" s="5" t="s">
        <v>40</v>
      </c>
      <c r="K3" s="2">
        <v>0</v>
      </c>
      <c r="AB3" s="4" t="s">
        <v>22</v>
      </c>
      <c r="AC3" s="2" t="b">
        <f t="shared" si="0"/>
        <v>0</v>
      </c>
      <c r="AE3" s="2">
        <f>(+G3+K3)</f>
        <v>0</v>
      </c>
      <c r="AF3" s="2">
        <f>(+C3+E3+G3)</f>
        <v>0</v>
      </c>
      <c r="AG3" s="2">
        <f>(+E3+I3+K3)</f>
        <v>0</v>
      </c>
      <c r="AH3" s="2">
        <f>(+G3+I3+K3)</f>
        <v>0</v>
      </c>
      <c r="AO3" s="4" t="s">
        <v>22</v>
      </c>
      <c r="AP3" s="2">
        <v>32</v>
      </c>
      <c r="AQ3" s="2">
        <v>29</v>
      </c>
      <c r="AR3" s="2">
        <v>35</v>
      </c>
      <c r="AS3" s="2">
        <v>51</v>
      </c>
      <c r="BA3" s="2">
        <f t="shared" si="1"/>
        <v>0</v>
      </c>
      <c r="BD3" s="10">
        <v>58</v>
      </c>
      <c r="BE3" s="2" t="b">
        <f t="shared" ref="BE3:BE66" si="5">AND(BD3=BA3,BD3&lt;&gt;0)</f>
        <v>0</v>
      </c>
      <c r="BF3" s="10">
        <v>58</v>
      </c>
      <c r="BG3" s="2" t="b">
        <f t="shared" si="2"/>
        <v>1</v>
      </c>
      <c r="BH3" s="10">
        <v>58</v>
      </c>
      <c r="BI3" s="2" t="b">
        <f t="shared" si="3"/>
        <v>1</v>
      </c>
      <c r="BJ3" s="10">
        <v>58</v>
      </c>
      <c r="BK3" s="2" t="b">
        <f t="shared" si="4"/>
        <v>1</v>
      </c>
    </row>
    <row r="4" spans="1:65" x14ac:dyDescent="0.2">
      <c r="A4" s="2" t="s">
        <v>41</v>
      </c>
      <c r="B4" s="5" t="s">
        <v>42</v>
      </c>
      <c r="C4" s="2">
        <v>0</v>
      </c>
      <c r="D4" s="5" t="s">
        <v>43</v>
      </c>
      <c r="E4" s="2">
        <v>0</v>
      </c>
      <c r="F4" s="5" t="s">
        <v>44</v>
      </c>
      <c r="G4" s="2">
        <v>0</v>
      </c>
      <c r="H4" s="5" t="s">
        <v>45</v>
      </c>
      <c r="I4" s="2">
        <v>0</v>
      </c>
      <c r="J4" s="5" t="s">
        <v>18</v>
      </c>
      <c r="K4" s="2">
        <v>0</v>
      </c>
      <c r="L4" s="5" t="s">
        <v>46</v>
      </c>
      <c r="M4" s="2">
        <v>0</v>
      </c>
      <c r="N4" s="5" t="s">
        <v>47</v>
      </c>
      <c r="O4" s="2">
        <v>0</v>
      </c>
      <c r="P4" s="5" t="s">
        <v>48</v>
      </c>
      <c r="Q4" s="2">
        <v>0</v>
      </c>
      <c r="AB4" s="4" t="s">
        <v>22</v>
      </c>
      <c r="AC4" s="2" t="b">
        <f t="shared" si="0"/>
        <v>0</v>
      </c>
      <c r="AE4" s="2">
        <f>(+I4+K4+M4+O4)</f>
        <v>0</v>
      </c>
      <c r="AF4" s="2">
        <f>(+C4+K4+M4)</f>
        <v>0</v>
      </c>
      <c r="AG4" s="2">
        <f>(+C4+E4+K4)</f>
        <v>0</v>
      </c>
      <c r="AH4" s="2">
        <f>(+K4+O4+Q4)</f>
        <v>0</v>
      </c>
      <c r="AI4" s="2">
        <f>(+C4+E4+G4+K4)</f>
        <v>0</v>
      </c>
      <c r="AJ4" s="2">
        <f>(+E4+G4+I4+M4+Q4)</f>
        <v>0</v>
      </c>
      <c r="AO4" s="4" t="s">
        <v>22</v>
      </c>
      <c r="AP4" s="2">
        <v>55</v>
      </c>
      <c r="AQ4" s="2">
        <v>40</v>
      </c>
      <c r="AR4" s="2">
        <v>39</v>
      </c>
      <c r="AS4" s="2">
        <v>33</v>
      </c>
      <c r="AT4" s="2">
        <v>42</v>
      </c>
      <c r="AU4" s="2">
        <v>56</v>
      </c>
      <c r="BA4" s="2">
        <f t="shared" si="1"/>
        <v>0</v>
      </c>
      <c r="BD4" s="10">
        <v>0</v>
      </c>
      <c r="BE4" s="2" t="b">
        <f t="shared" si="5"/>
        <v>0</v>
      </c>
      <c r="BF4" s="10">
        <v>0</v>
      </c>
      <c r="BG4" s="2" t="b">
        <f t="shared" si="2"/>
        <v>1</v>
      </c>
      <c r="BH4" s="10">
        <v>82</v>
      </c>
      <c r="BI4" s="2" t="b">
        <f t="shared" si="3"/>
        <v>0</v>
      </c>
      <c r="BJ4" s="10">
        <v>81</v>
      </c>
      <c r="BK4" s="2" t="b">
        <f t="shared" si="4"/>
        <v>0</v>
      </c>
    </row>
    <row r="5" spans="1:65" s="6" customFormat="1" x14ac:dyDescent="0.2">
      <c r="A5" s="6" t="s">
        <v>49</v>
      </c>
      <c r="B5" s="7" t="s">
        <v>50</v>
      </c>
      <c r="C5" s="6">
        <v>4</v>
      </c>
      <c r="D5" s="7" t="s">
        <v>15</v>
      </c>
      <c r="E5" s="6">
        <v>0</v>
      </c>
      <c r="F5" s="7"/>
      <c r="H5" s="7"/>
      <c r="J5" s="7"/>
      <c r="L5" s="7"/>
      <c r="N5" s="7"/>
      <c r="P5" s="7"/>
      <c r="R5" s="7"/>
      <c r="T5" s="7"/>
      <c r="V5" s="7"/>
      <c r="X5" s="7"/>
      <c r="Z5" s="7"/>
      <c r="AB5" s="6" t="s">
        <v>22</v>
      </c>
      <c r="AC5" s="6" t="b">
        <f t="shared" si="0"/>
        <v>1</v>
      </c>
      <c r="AE5" s="6">
        <f>(+E5)</f>
        <v>0</v>
      </c>
      <c r="AF5" s="6">
        <f>(+C5+E5)</f>
        <v>4</v>
      </c>
      <c r="AG5" s="6">
        <f>(+C5+E5)</f>
        <v>4</v>
      </c>
      <c r="AH5" s="6">
        <f>(+C5)</f>
        <v>4</v>
      </c>
      <c r="AO5" s="6" t="s">
        <v>22</v>
      </c>
      <c r="AP5" s="6">
        <v>0</v>
      </c>
      <c r="AQ5" s="6">
        <v>4</v>
      </c>
      <c r="AR5" s="6">
        <v>4</v>
      </c>
      <c r="AS5" s="6">
        <v>4</v>
      </c>
      <c r="BA5" s="6">
        <f t="shared" si="1"/>
        <v>4</v>
      </c>
      <c r="BB5" s="2"/>
      <c r="BC5" s="2"/>
      <c r="BD5" s="10">
        <v>4</v>
      </c>
      <c r="BE5" s="2" t="b">
        <f t="shared" si="5"/>
        <v>1</v>
      </c>
      <c r="BF5" s="10">
        <v>4</v>
      </c>
      <c r="BG5" s="2" t="b">
        <f t="shared" si="2"/>
        <v>1</v>
      </c>
      <c r="BH5" s="10">
        <v>4</v>
      </c>
      <c r="BI5" s="2" t="b">
        <f t="shared" si="3"/>
        <v>1</v>
      </c>
      <c r="BJ5" s="10">
        <v>4</v>
      </c>
      <c r="BK5" s="2" t="b">
        <f t="shared" si="4"/>
        <v>1</v>
      </c>
      <c r="BL5" s="2"/>
    </row>
    <row r="6" spans="1:65" x14ac:dyDescent="0.2">
      <c r="A6" s="2" t="s">
        <v>51</v>
      </c>
      <c r="B6" s="5" t="s">
        <v>11</v>
      </c>
      <c r="C6" s="2">
        <v>0</v>
      </c>
      <c r="D6" s="5" t="s">
        <v>39</v>
      </c>
      <c r="E6" s="2">
        <v>32</v>
      </c>
      <c r="F6" s="5" t="s">
        <v>52</v>
      </c>
      <c r="G6" s="2">
        <v>0</v>
      </c>
      <c r="H6" s="5" t="s">
        <v>40</v>
      </c>
      <c r="I6" s="2">
        <v>141</v>
      </c>
      <c r="J6" s="5" t="s">
        <v>24</v>
      </c>
      <c r="K6" s="2">
        <v>0</v>
      </c>
      <c r="L6" s="5" t="s">
        <v>9</v>
      </c>
      <c r="M6" s="2">
        <v>0</v>
      </c>
      <c r="N6" s="5" t="s">
        <v>25</v>
      </c>
      <c r="O6" s="2">
        <v>37</v>
      </c>
      <c r="AB6" s="4" t="s">
        <v>22</v>
      </c>
      <c r="AC6" s="2" t="b">
        <f t="shared" si="0"/>
        <v>0</v>
      </c>
      <c r="AE6" s="2">
        <f>(+C6+E6+I6)</f>
        <v>173</v>
      </c>
      <c r="AF6" s="2">
        <f>(+C6+E6)</f>
        <v>32</v>
      </c>
      <c r="AG6" s="2">
        <f>(+I6+K6+M6)</f>
        <v>141</v>
      </c>
      <c r="AH6" s="2">
        <f>(+E6+I6+M6+O6)</f>
        <v>210</v>
      </c>
      <c r="AI6" s="2">
        <f>(+G6+K6+O6)</f>
        <v>37</v>
      </c>
      <c r="AO6" s="4" t="s">
        <v>22</v>
      </c>
      <c r="AP6" s="2">
        <v>197</v>
      </c>
      <c r="AQ6" s="2">
        <v>32</v>
      </c>
      <c r="AR6" s="2">
        <v>188</v>
      </c>
      <c r="AS6" s="2">
        <v>210</v>
      </c>
      <c r="AT6" s="2">
        <v>37</v>
      </c>
      <c r="BA6" s="2">
        <f t="shared" si="1"/>
        <v>210</v>
      </c>
      <c r="BD6" s="10">
        <v>239</v>
      </c>
      <c r="BE6" s="2" t="b">
        <f t="shared" si="5"/>
        <v>0</v>
      </c>
      <c r="BF6" s="10">
        <v>234</v>
      </c>
      <c r="BG6" s="2" t="b">
        <f t="shared" si="2"/>
        <v>0</v>
      </c>
      <c r="BH6" s="10">
        <v>234</v>
      </c>
      <c r="BI6" s="2" t="b">
        <f t="shared" si="3"/>
        <v>1</v>
      </c>
      <c r="BJ6" s="10">
        <v>234</v>
      </c>
      <c r="BK6" s="2" t="b">
        <f t="shared" si="4"/>
        <v>1</v>
      </c>
    </row>
    <row r="7" spans="1:65" s="6" customFormat="1" x14ac:dyDescent="0.2">
      <c r="A7" s="6" t="s">
        <v>53</v>
      </c>
      <c r="B7" s="7" t="s">
        <v>54</v>
      </c>
      <c r="C7" s="6">
        <v>18</v>
      </c>
      <c r="D7" s="7" t="s">
        <v>55</v>
      </c>
      <c r="E7" s="6">
        <v>14</v>
      </c>
      <c r="F7" s="7" t="s">
        <v>56</v>
      </c>
      <c r="G7" s="6">
        <v>14</v>
      </c>
      <c r="H7" s="7" t="s">
        <v>57</v>
      </c>
      <c r="I7" s="6">
        <v>11</v>
      </c>
      <c r="J7" s="7" t="s">
        <v>58</v>
      </c>
      <c r="K7" s="6">
        <v>11</v>
      </c>
      <c r="L7" s="7"/>
      <c r="N7" s="7"/>
      <c r="P7" s="7"/>
      <c r="R7" s="7"/>
      <c r="T7" s="7"/>
      <c r="V7" s="7"/>
      <c r="X7" s="7"/>
      <c r="Z7" s="7"/>
      <c r="AB7" s="6" t="s">
        <v>22</v>
      </c>
      <c r="AC7" s="6" t="b">
        <f t="shared" si="0"/>
        <v>1</v>
      </c>
      <c r="AE7" s="6">
        <f>(+E7)</f>
        <v>14</v>
      </c>
      <c r="AF7" s="6">
        <f>(+C7+E7+I7)</f>
        <v>43</v>
      </c>
      <c r="AG7" s="6">
        <f>(+C7+E7+G7+I7+K7)</f>
        <v>68</v>
      </c>
      <c r="AH7" s="6">
        <f>(+C7+E7+K7)</f>
        <v>43</v>
      </c>
      <c r="AI7" s="6">
        <f>(+K7)</f>
        <v>11</v>
      </c>
      <c r="AJ7" s="6">
        <f>(+C7+E7+G7+K7)</f>
        <v>57</v>
      </c>
      <c r="AK7" s="6">
        <f>(+C7+E7+I7)</f>
        <v>43</v>
      </c>
      <c r="AO7" s="6" t="s">
        <v>22</v>
      </c>
      <c r="AP7" s="6">
        <v>14</v>
      </c>
      <c r="AQ7" s="6">
        <v>43</v>
      </c>
      <c r="AR7" s="6">
        <v>68</v>
      </c>
      <c r="AS7" s="6">
        <v>43</v>
      </c>
      <c r="AT7" s="6">
        <v>11</v>
      </c>
      <c r="AU7" s="6">
        <v>57</v>
      </c>
      <c r="AV7" s="6">
        <v>43</v>
      </c>
      <c r="BA7" s="6">
        <f t="shared" si="1"/>
        <v>68</v>
      </c>
      <c r="BB7" s="2"/>
      <c r="BC7" s="2"/>
      <c r="BD7" s="10">
        <v>68</v>
      </c>
      <c r="BE7" s="2" t="b">
        <f t="shared" si="5"/>
        <v>1</v>
      </c>
      <c r="BF7" s="10">
        <v>68</v>
      </c>
      <c r="BG7" s="2" t="b">
        <f t="shared" si="2"/>
        <v>1</v>
      </c>
      <c r="BH7" s="10">
        <v>68</v>
      </c>
      <c r="BI7" s="2" t="b">
        <f t="shared" si="3"/>
        <v>1</v>
      </c>
      <c r="BJ7" s="10">
        <v>68</v>
      </c>
      <c r="BK7" s="2" t="b">
        <f t="shared" si="4"/>
        <v>1</v>
      </c>
      <c r="BL7" s="2"/>
    </row>
    <row r="8" spans="1:65" s="6" customFormat="1" x14ac:dyDescent="0.2">
      <c r="A8" s="6" t="s">
        <v>59</v>
      </c>
      <c r="B8" s="7" t="s">
        <v>40</v>
      </c>
      <c r="C8" s="6">
        <v>7</v>
      </c>
      <c r="D8" s="7" t="s">
        <v>50</v>
      </c>
      <c r="E8" s="6">
        <v>14</v>
      </c>
      <c r="F8" s="7" t="s">
        <v>10</v>
      </c>
      <c r="G8" s="6">
        <v>11</v>
      </c>
      <c r="H8" s="7" t="s">
        <v>47</v>
      </c>
      <c r="I8" s="6">
        <v>3</v>
      </c>
      <c r="J8" s="7"/>
      <c r="L8" s="7"/>
      <c r="N8" s="7"/>
      <c r="P8" s="7"/>
      <c r="R8" s="7"/>
      <c r="T8" s="7"/>
      <c r="V8" s="7"/>
      <c r="X8" s="7"/>
      <c r="Z8" s="7"/>
      <c r="AB8" s="6" t="s">
        <v>22</v>
      </c>
      <c r="AC8" s="6" t="b">
        <f t="shared" si="0"/>
        <v>1</v>
      </c>
      <c r="AE8" s="6">
        <f>(+C8+G8+I8)</f>
        <v>21</v>
      </c>
      <c r="AF8" s="6">
        <f>(+E8)</f>
        <v>14</v>
      </c>
      <c r="AG8" s="6">
        <f>(+C8+E8+G8)</f>
        <v>32</v>
      </c>
      <c r="AH8" s="6">
        <f>(+C8+E8+I8)</f>
        <v>24</v>
      </c>
      <c r="AO8" s="6" t="s">
        <v>22</v>
      </c>
      <c r="AP8" s="6">
        <v>21</v>
      </c>
      <c r="AQ8" s="6">
        <v>14</v>
      </c>
      <c r="AR8" s="6">
        <v>32</v>
      </c>
      <c r="AS8" s="6">
        <v>24</v>
      </c>
      <c r="BA8" s="6">
        <f t="shared" si="1"/>
        <v>35</v>
      </c>
      <c r="BB8" s="2"/>
      <c r="BC8" s="2"/>
      <c r="BD8" s="10">
        <v>35</v>
      </c>
      <c r="BE8" s="2" t="b">
        <f t="shared" si="5"/>
        <v>1</v>
      </c>
      <c r="BF8" s="10">
        <v>35</v>
      </c>
      <c r="BG8" s="2" t="b">
        <f t="shared" si="2"/>
        <v>1</v>
      </c>
      <c r="BH8" s="10">
        <v>35</v>
      </c>
      <c r="BI8" s="2" t="b">
        <f t="shared" si="3"/>
        <v>1</v>
      </c>
      <c r="BJ8" s="10">
        <v>35</v>
      </c>
      <c r="BK8" s="2" t="b">
        <f t="shared" si="4"/>
        <v>1</v>
      </c>
      <c r="BL8" s="2"/>
    </row>
    <row r="9" spans="1:65" x14ac:dyDescent="0.2">
      <c r="A9" s="2" t="s">
        <v>60</v>
      </c>
      <c r="B9" s="5" t="s">
        <v>61</v>
      </c>
      <c r="C9" s="2">
        <v>0</v>
      </c>
      <c r="D9" s="5" t="s">
        <v>62</v>
      </c>
      <c r="E9" s="2">
        <v>0</v>
      </c>
      <c r="F9" s="5" t="s">
        <v>63</v>
      </c>
      <c r="G9" s="2">
        <v>0</v>
      </c>
      <c r="H9" s="5" t="s">
        <v>64</v>
      </c>
      <c r="I9" s="2">
        <v>0</v>
      </c>
      <c r="J9" s="5" t="s">
        <v>65</v>
      </c>
      <c r="K9" s="2">
        <v>0</v>
      </c>
      <c r="L9" s="5" t="s">
        <v>66</v>
      </c>
      <c r="M9" s="2">
        <v>0</v>
      </c>
      <c r="N9" s="5" t="s">
        <v>67</v>
      </c>
      <c r="O9" s="2">
        <v>0</v>
      </c>
      <c r="P9" s="5" t="s">
        <v>68</v>
      </c>
      <c r="Q9" s="2">
        <v>0</v>
      </c>
      <c r="R9" s="5" t="s">
        <v>69</v>
      </c>
      <c r="S9" s="2">
        <v>0</v>
      </c>
      <c r="T9" s="5" t="s">
        <v>70</v>
      </c>
      <c r="U9" s="2">
        <v>0</v>
      </c>
      <c r="AB9" s="4" t="s">
        <v>22</v>
      </c>
      <c r="AC9" s="2" t="b">
        <f t="shared" si="0"/>
        <v>0</v>
      </c>
      <c r="AE9" s="2">
        <f>(+E9+G9+O9+Q9+U9)</f>
        <v>0</v>
      </c>
      <c r="AF9" s="2">
        <f>(+C9+S9+U9)</f>
        <v>0</v>
      </c>
      <c r="AG9" s="2">
        <f>(+C9+E9+G9+K9+M9+S9+U9)</f>
        <v>0</v>
      </c>
      <c r="AH9" s="2">
        <f>(+C9+K9+Q9+S9+U9)</f>
        <v>0</v>
      </c>
      <c r="AI9" s="2">
        <f>(+E9+G9+I9+U9)</f>
        <v>0</v>
      </c>
      <c r="AJ9" s="2">
        <f>(+C9+I9+S9+U9)</f>
        <v>0</v>
      </c>
      <c r="AK9" s="2">
        <f>(+C9+E9+G9+I9+M9+O9+S9)</f>
        <v>0</v>
      </c>
      <c r="AL9" s="2">
        <f>(+C9+E9+G9+K9+M9+O9+Q9+S9+U9)</f>
        <v>0</v>
      </c>
      <c r="AM9" s="2">
        <f>(+C9+E9+G9+I9+K9+M9+U9)</f>
        <v>0</v>
      </c>
      <c r="AN9" s="2">
        <f>(+C9+E9+I9+K9+M9+S9)</f>
        <v>0</v>
      </c>
      <c r="AO9" s="4" t="s">
        <v>22</v>
      </c>
      <c r="AP9" s="2">
        <v>77</v>
      </c>
      <c r="AQ9" s="2">
        <v>29</v>
      </c>
      <c r="AR9" s="2">
        <v>90</v>
      </c>
      <c r="AS9" s="2">
        <v>62</v>
      </c>
      <c r="AT9" s="2">
        <v>55</v>
      </c>
      <c r="AU9" s="2">
        <v>29</v>
      </c>
      <c r="AV9" s="2">
        <v>62</v>
      </c>
      <c r="AW9" s="2">
        <v>112</v>
      </c>
      <c r="AX9" s="2">
        <v>79</v>
      </c>
      <c r="AY9" s="2">
        <v>55</v>
      </c>
      <c r="BA9" s="2">
        <f t="shared" si="1"/>
        <v>0</v>
      </c>
      <c r="BD9" s="10">
        <v>0</v>
      </c>
      <c r="BE9" s="2" t="b">
        <f t="shared" si="5"/>
        <v>0</v>
      </c>
      <c r="BF9" s="10">
        <v>0</v>
      </c>
      <c r="BG9" s="2" t="b">
        <f t="shared" si="2"/>
        <v>1</v>
      </c>
      <c r="BH9" s="10">
        <v>112</v>
      </c>
      <c r="BI9" s="2" t="b">
        <f t="shared" si="3"/>
        <v>0</v>
      </c>
      <c r="BJ9" s="10">
        <v>112</v>
      </c>
      <c r="BK9" s="2" t="b">
        <f t="shared" si="4"/>
        <v>1</v>
      </c>
    </row>
    <row r="10" spans="1:65" x14ac:dyDescent="0.2">
      <c r="A10" s="2" t="s">
        <v>71</v>
      </c>
      <c r="B10" s="5" t="s">
        <v>72</v>
      </c>
      <c r="C10" s="2">
        <v>0</v>
      </c>
      <c r="D10" s="5" t="s">
        <v>73</v>
      </c>
      <c r="E10" s="2">
        <v>0</v>
      </c>
      <c r="F10" s="5" t="s">
        <v>74</v>
      </c>
      <c r="G10" s="2">
        <v>0</v>
      </c>
      <c r="H10" s="5" t="s">
        <v>75</v>
      </c>
      <c r="I10" s="2">
        <v>0</v>
      </c>
      <c r="J10" s="5" t="s">
        <v>76</v>
      </c>
      <c r="K10" s="2">
        <v>0</v>
      </c>
      <c r="L10" s="5" t="s">
        <v>77</v>
      </c>
      <c r="M10" s="2">
        <v>0</v>
      </c>
      <c r="N10" s="5" t="s">
        <v>78</v>
      </c>
      <c r="O10" s="2">
        <v>0</v>
      </c>
      <c r="P10" s="5" t="s">
        <v>79</v>
      </c>
      <c r="Q10" s="2">
        <v>0</v>
      </c>
      <c r="AB10" s="4" t="s">
        <v>22</v>
      </c>
      <c r="AC10" s="2" t="b">
        <f t="shared" si="0"/>
        <v>0</v>
      </c>
      <c r="AE10" s="2">
        <f>(+C10+G10+I10+Q10)</f>
        <v>0</v>
      </c>
      <c r="AF10" s="2">
        <f>(+C10+E10+K10)</f>
        <v>0</v>
      </c>
      <c r="AG10" s="2">
        <f>(+E10+G10+K10+M10+O10)</f>
        <v>0</v>
      </c>
      <c r="AH10" s="2">
        <f>(+E10+G10+Q10)</f>
        <v>0</v>
      </c>
      <c r="AI10" s="2">
        <f>(+C10+G10+I10+O10+Q10)</f>
        <v>0</v>
      </c>
      <c r="AJ10" s="2">
        <f>(+E10+G10+I10+M10)</f>
        <v>0</v>
      </c>
      <c r="AK10" s="2">
        <f>(+C10+E10+G10+I10+O10+Q10)</f>
        <v>0</v>
      </c>
      <c r="AL10" s="2">
        <f>(+I10+O10)</f>
        <v>0</v>
      </c>
      <c r="AM10" s="2">
        <f>(+C10+E10+G10)</f>
        <v>0</v>
      </c>
      <c r="AN10" s="2">
        <f>(+C10+E10+K10+M10+Q10)</f>
        <v>0</v>
      </c>
      <c r="AO10" s="4" t="s">
        <v>22</v>
      </c>
      <c r="AP10" s="2">
        <v>52</v>
      </c>
      <c r="AQ10" s="2">
        <v>30</v>
      </c>
      <c r="AR10" s="2">
        <v>67</v>
      </c>
      <c r="AS10" s="2">
        <v>53</v>
      </c>
      <c r="AT10" s="2">
        <v>55</v>
      </c>
      <c r="AU10" s="2">
        <v>67</v>
      </c>
      <c r="AV10" s="2">
        <v>72</v>
      </c>
      <c r="AW10" s="2">
        <v>17</v>
      </c>
      <c r="AX10" s="2">
        <v>36</v>
      </c>
      <c r="AY10" s="2">
        <v>68</v>
      </c>
      <c r="BA10" s="2">
        <f t="shared" si="1"/>
        <v>0</v>
      </c>
      <c r="BD10" s="10">
        <v>0</v>
      </c>
      <c r="BE10" s="2" t="b">
        <f t="shared" si="5"/>
        <v>0</v>
      </c>
      <c r="BF10" s="10">
        <v>0</v>
      </c>
      <c r="BG10" s="2" t="b">
        <f t="shared" si="2"/>
        <v>1</v>
      </c>
      <c r="BH10" s="10">
        <v>102</v>
      </c>
      <c r="BI10" s="2" t="b">
        <f t="shared" si="3"/>
        <v>0</v>
      </c>
      <c r="BJ10" s="10">
        <v>102</v>
      </c>
      <c r="BK10" s="2" t="b">
        <f t="shared" si="4"/>
        <v>1</v>
      </c>
    </row>
    <row r="11" spans="1:65" x14ac:dyDescent="0.2">
      <c r="A11" s="2" t="s">
        <v>80</v>
      </c>
      <c r="B11" s="5" t="s">
        <v>11</v>
      </c>
      <c r="C11" s="2">
        <v>0</v>
      </c>
      <c r="D11" s="5" t="s">
        <v>81</v>
      </c>
      <c r="E11" s="2">
        <v>0</v>
      </c>
      <c r="F11" s="5" t="s">
        <v>82</v>
      </c>
      <c r="G11" s="2">
        <v>0</v>
      </c>
      <c r="H11" s="5" t="s">
        <v>83</v>
      </c>
      <c r="I11" s="2">
        <v>0</v>
      </c>
      <c r="J11" s="5" t="s">
        <v>84</v>
      </c>
      <c r="K11" s="2">
        <v>0</v>
      </c>
      <c r="L11" s="5" t="s">
        <v>85</v>
      </c>
      <c r="M11" s="2">
        <v>0</v>
      </c>
      <c r="N11" s="5" t="s">
        <v>86</v>
      </c>
      <c r="O11" s="2">
        <v>0</v>
      </c>
      <c r="P11" s="5" t="s">
        <v>87</v>
      </c>
      <c r="Q11" s="2">
        <v>0</v>
      </c>
      <c r="R11" s="5" t="s">
        <v>16</v>
      </c>
      <c r="S11" s="2">
        <v>0</v>
      </c>
      <c r="AB11" s="4" t="s">
        <v>22</v>
      </c>
      <c r="AC11" s="2" t="b">
        <f t="shared" si="0"/>
        <v>0</v>
      </c>
      <c r="AE11" s="2">
        <f>(+C11+E11+K11+O11)</f>
        <v>0</v>
      </c>
      <c r="AF11" s="2">
        <f>(+C11+E11+M11+O11+Q11+S11)</f>
        <v>0</v>
      </c>
      <c r="AG11" s="2">
        <f>(+E11+M11+O11+S11)</f>
        <v>0</v>
      </c>
      <c r="AH11" s="2">
        <f>(+E11+G11+I11+K11+M11+Q11+S11)</f>
        <v>0</v>
      </c>
      <c r="AI11" s="2">
        <f>(+E11+G11+O11+S11)</f>
        <v>0</v>
      </c>
      <c r="AJ11" s="2">
        <f>(+I11+O11)</f>
        <v>0</v>
      </c>
      <c r="AK11" s="2">
        <f>(+I11+K11+M11+O11+Q11)</f>
        <v>0</v>
      </c>
      <c r="AL11" s="2">
        <f>(+E11+G11+O11)</f>
        <v>0</v>
      </c>
      <c r="AM11" s="2">
        <f>(+K11+M11)</f>
        <v>0</v>
      </c>
      <c r="AO11" s="4" t="s">
        <v>22</v>
      </c>
      <c r="AP11" s="2">
        <v>57</v>
      </c>
      <c r="AQ11" s="2">
        <v>51</v>
      </c>
      <c r="AR11" s="2">
        <v>30</v>
      </c>
      <c r="AS11" s="2">
        <v>56</v>
      </c>
      <c r="AT11" s="2">
        <v>31</v>
      </c>
      <c r="AU11" s="2">
        <v>28</v>
      </c>
      <c r="AV11" s="2">
        <v>55</v>
      </c>
      <c r="AW11" s="2">
        <v>26</v>
      </c>
      <c r="AX11" s="2">
        <v>21</v>
      </c>
      <c r="BA11" s="2">
        <f t="shared" si="1"/>
        <v>0</v>
      </c>
      <c r="BD11" s="10">
        <v>86</v>
      </c>
      <c r="BE11" s="2" t="b">
        <f t="shared" si="5"/>
        <v>0</v>
      </c>
      <c r="BF11" s="10">
        <v>86</v>
      </c>
      <c r="BG11" s="2" t="b">
        <f t="shared" si="2"/>
        <v>1</v>
      </c>
      <c r="BH11" s="10">
        <v>86</v>
      </c>
      <c r="BI11" s="2" t="b">
        <f t="shared" si="3"/>
        <v>1</v>
      </c>
      <c r="BJ11" s="10">
        <v>86</v>
      </c>
      <c r="BK11" s="2" t="b">
        <f t="shared" si="4"/>
        <v>1</v>
      </c>
    </row>
    <row r="12" spans="1:65" x14ac:dyDescent="0.2">
      <c r="A12" s="2" t="s">
        <v>88</v>
      </c>
      <c r="B12" s="5" t="s">
        <v>89</v>
      </c>
      <c r="C12" s="2">
        <v>0</v>
      </c>
      <c r="D12" s="5" t="s">
        <v>55</v>
      </c>
      <c r="E12" s="2">
        <v>0</v>
      </c>
      <c r="F12" s="5" t="s">
        <v>90</v>
      </c>
      <c r="G12" s="2">
        <v>0</v>
      </c>
      <c r="H12" s="5" t="s">
        <v>91</v>
      </c>
      <c r="I12" s="2">
        <v>0</v>
      </c>
      <c r="J12" s="5" t="s">
        <v>48</v>
      </c>
      <c r="K12" s="2">
        <v>0</v>
      </c>
      <c r="L12" s="5" t="s">
        <v>92</v>
      </c>
      <c r="M12" s="2">
        <v>0</v>
      </c>
      <c r="N12" s="5" t="s">
        <v>43</v>
      </c>
      <c r="O12" s="2">
        <v>0</v>
      </c>
      <c r="AB12" s="4" t="s">
        <v>22</v>
      </c>
      <c r="AC12" s="2" t="b">
        <f t="shared" si="0"/>
        <v>0</v>
      </c>
      <c r="AE12" s="2">
        <f>(+C12+E12+I12+M12)</f>
        <v>0</v>
      </c>
      <c r="AF12" s="2">
        <f>(+E12+G12+M12)</f>
        <v>0</v>
      </c>
      <c r="AG12" s="2">
        <f>(+C12+E12+O12)</f>
        <v>0</v>
      </c>
      <c r="AH12" s="2">
        <f>(+E12+K12+M12)</f>
        <v>0</v>
      </c>
      <c r="AI12" s="2">
        <f>(+G12+O12)</f>
        <v>0</v>
      </c>
      <c r="AJ12" s="2">
        <f>(+C12+E12+I12+K12+O12)</f>
        <v>0</v>
      </c>
      <c r="AK12" s="2">
        <f>(+C12+E12+G12+I12+M12)</f>
        <v>0</v>
      </c>
      <c r="AO12" s="4" t="s">
        <v>22</v>
      </c>
      <c r="AP12" s="2">
        <v>42</v>
      </c>
      <c r="AQ12" s="2">
        <v>30</v>
      </c>
      <c r="AR12" s="2">
        <v>32</v>
      </c>
      <c r="AS12" s="2">
        <v>31</v>
      </c>
      <c r="AT12" s="2">
        <v>20</v>
      </c>
      <c r="AU12" s="2">
        <v>52</v>
      </c>
      <c r="AV12" s="2">
        <v>48</v>
      </c>
      <c r="BA12" s="2">
        <f t="shared" si="1"/>
        <v>0</v>
      </c>
      <c r="BD12" s="10">
        <v>69</v>
      </c>
      <c r="BE12" s="2" t="b">
        <f t="shared" si="5"/>
        <v>0</v>
      </c>
      <c r="BF12" s="10">
        <v>69</v>
      </c>
      <c r="BG12" s="2" t="b">
        <f t="shared" si="2"/>
        <v>1</v>
      </c>
      <c r="BH12" s="10">
        <v>69</v>
      </c>
      <c r="BI12" s="2" t="b">
        <f t="shared" si="3"/>
        <v>1</v>
      </c>
      <c r="BJ12" s="10">
        <v>69</v>
      </c>
      <c r="BK12" s="2" t="b">
        <f t="shared" si="4"/>
        <v>1</v>
      </c>
    </row>
    <row r="13" spans="1:65" x14ac:dyDescent="0.2">
      <c r="A13" s="2" t="s">
        <v>93</v>
      </c>
      <c r="B13" s="5" t="s">
        <v>70</v>
      </c>
      <c r="C13" s="2">
        <v>0</v>
      </c>
      <c r="D13" s="5" t="s">
        <v>94</v>
      </c>
      <c r="E13" s="2">
        <v>0</v>
      </c>
      <c r="F13" s="5" t="s">
        <v>95</v>
      </c>
      <c r="G13" s="2">
        <v>0</v>
      </c>
      <c r="H13" s="5" t="s">
        <v>96</v>
      </c>
      <c r="I13" s="2">
        <v>0</v>
      </c>
      <c r="J13" s="5" t="s">
        <v>97</v>
      </c>
      <c r="K13" s="2">
        <v>0</v>
      </c>
      <c r="L13" s="5" t="s">
        <v>98</v>
      </c>
      <c r="M13" s="2">
        <v>0</v>
      </c>
      <c r="N13" s="5" t="s">
        <v>52</v>
      </c>
      <c r="O13" s="2">
        <v>0</v>
      </c>
      <c r="P13" s="5" t="s">
        <v>99</v>
      </c>
      <c r="Q13" s="2">
        <v>0</v>
      </c>
      <c r="R13" s="5" t="s">
        <v>100</v>
      </c>
      <c r="S13" s="2">
        <v>0</v>
      </c>
      <c r="T13" s="5" t="s">
        <v>101</v>
      </c>
      <c r="U13" s="2">
        <v>0</v>
      </c>
      <c r="V13" s="5" t="s">
        <v>102</v>
      </c>
      <c r="W13" s="2">
        <v>0</v>
      </c>
      <c r="X13" s="5" t="s">
        <v>103</v>
      </c>
      <c r="Y13" s="2">
        <v>0</v>
      </c>
      <c r="Z13" s="5" t="s">
        <v>104</v>
      </c>
      <c r="AA13" s="2">
        <v>0</v>
      </c>
      <c r="AB13" s="4" t="s">
        <v>22</v>
      </c>
      <c r="AC13" s="2" t="b">
        <f t="shared" si="0"/>
        <v>0</v>
      </c>
      <c r="AE13" s="2">
        <f>(+C13+G13+I13+S13+U13+W13+Y13+AA13)</f>
        <v>0</v>
      </c>
      <c r="AF13" s="2">
        <f>(+C13+I13+M13+Q13+W13)</f>
        <v>0</v>
      </c>
      <c r="AG13" s="2">
        <f>(+C13+E13+G13+K13+Q13+W13+Y13)</f>
        <v>0</v>
      </c>
      <c r="AH13" s="2">
        <f>(+C13+E13+G13+K13+Q13+S13+U13+Y13)</f>
        <v>0</v>
      </c>
      <c r="AI13" s="2">
        <f>(+C13+E13+O13+S13+W13+AA13)</f>
        <v>0</v>
      </c>
      <c r="AJ13" s="2">
        <f>(+C13+E13+G13+K13+S13+W13+Y13)</f>
        <v>0</v>
      </c>
      <c r="AK13" s="2">
        <f>(+E13+Q13+S13+U13+W13+AA13)</f>
        <v>0</v>
      </c>
      <c r="AL13" s="2">
        <f>(+C13+E13+I13+M13+Q13+W13+Y13+AA13)</f>
        <v>0</v>
      </c>
      <c r="AM13" s="2">
        <f>(+C13+E13+G13+U13+Y13)</f>
        <v>0</v>
      </c>
      <c r="AN13" s="2">
        <f>(+G13+I13+U13+W13+Y13)</f>
        <v>0</v>
      </c>
      <c r="AO13" s="4" t="s">
        <v>22</v>
      </c>
      <c r="AP13" s="2">
        <v>87</v>
      </c>
      <c r="AQ13" s="2">
        <v>56</v>
      </c>
      <c r="AR13" s="2">
        <v>65</v>
      </c>
      <c r="AS13" s="2">
        <v>70</v>
      </c>
      <c r="AT13" s="2">
        <v>72</v>
      </c>
      <c r="AU13" s="2">
        <v>54</v>
      </c>
      <c r="AV13" s="2">
        <v>78</v>
      </c>
      <c r="AW13" s="2">
        <v>100</v>
      </c>
      <c r="AX13" s="2">
        <v>42</v>
      </c>
      <c r="AY13" s="2">
        <v>54</v>
      </c>
      <c r="BA13" s="2">
        <f t="shared" si="1"/>
        <v>0</v>
      </c>
      <c r="BD13" s="10">
        <v>0</v>
      </c>
      <c r="BE13" s="2" t="b">
        <f t="shared" si="5"/>
        <v>0</v>
      </c>
      <c r="BF13" s="10">
        <v>0</v>
      </c>
      <c r="BG13" s="2" t="b">
        <f t="shared" si="2"/>
        <v>1</v>
      </c>
      <c r="BH13" s="10">
        <v>0</v>
      </c>
      <c r="BI13" s="2" t="b">
        <f t="shared" si="3"/>
        <v>1</v>
      </c>
      <c r="BJ13" s="10">
        <v>135</v>
      </c>
      <c r="BK13" s="2" t="b">
        <f t="shared" si="4"/>
        <v>0</v>
      </c>
      <c r="BL13" s="2">
        <v>135</v>
      </c>
    </row>
    <row r="14" spans="1:65" x14ac:dyDescent="0.2">
      <c r="A14" s="2" t="s">
        <v>105</v>
      </c>
      <c r="B14" s="5" t="s">
        <v>38</v>
      </c>
      <c r="C14" s="2">
        <v>0</v>
      </c>
      <c r="D14" s="5" t="s">
        <v>40</v>
      </c>
      <c r="E14" s="2">
        <v>0</v>
      </c>
      <c r="F14" s="5" t="s">
        <v>7</v>
      </c>
      <c r="G14" s="2">
        <v>26</v>
      </c>
      <c r="H14" s="5" t="s">
        <v>106</v>
      </c>
      <c r="I14" s="2">
        <v>19</v>
      </c>
      <c r="J14" s="5" t="s">
        <v>14</v>
      </c>
      <c r="K14" s="2">
        <v>0</v>
      </c>
      <c r="L14" s="5" t="s">
        <v>52</v>
      </c>
      <c r="M14" s="2">
        <v>0</v>
      </c>
      <c r="AB14" s="4" t="s">
        <v>22</v>
      </c>
      <c r="AC14" s="2" t="b">
        <f t="shared" si="0"/>
        <v>0</v>
      </c>
      <c r="AE14" s="2">
        <f>(+E14+I14+K14)</f>
        <v>19</v>
      </c>
      <c r="AF14" s="2">
        <f>(+C14+G14)</f>
        <v>26</v>
      </c>
      <c r="AG14" s="2">
        <f>(+E14+I14)</f>
        <v>19</v>
      </c>
      <c r="AH14" s="2">
        <f>(+E14+G14)</f>
        <v>26</v>
      </c>
      <c r="AI14" s="2">
        <f>(+I14+K14+M14)</f>
        <v>19</v>
      </c>
      <c r="AO14" s="4" t="s">
        <v>22</v>
      </c>
      <c r="AP14" s="2">
        <v>34</v>
      </c>
      <c r="AQ14" s="2">
        <v>26</v>
      </c>
      <c r="AR14" s="2">
        <v>19</v>
      </c>
      <c r="AS14" s="2">
        <v>27</v>
      </c>
      <c r="AT14" s="2">
        <v>31</v>
      </c>
      <c r="BA14" s="2">
        <f t="shared" si="1"/>
        <v>45</v>
      </c>
      <c r="BD14" s="10">
        <v>60</v>
      </c>
      <c r="BE14" s="2" t="b">
        <f t="shared" si="5"/>
        <v>0</v>
      </c>
      <c r="BF14" s="10">
        <v>60</v>
      </c>
      <c r="BG14" s="2" t="b">
        <f t="shared" si="2"/>
        <v>1</v>
      </c>
      <c r="BH14" s="10">
        <v>60</v>
      </c>
      <c r="BI14" s="2" t="b">
        <f t="shared" si="3"/>
        <v>1</v>
      </c>
      <c r="BJ14" s="10">
        <v>60</v>
      </c>
      <c r="BK14" s="2" t="b">
        <f t="shared" si="4"/>
        <v>1</v>
      </c>
    </row>
    <row r="15" spans="1:65" s="6" customFormat="1" x14ac:dyDescent="0.2">
      <c r="A15" s="6" t="s">
        <v>107</v>
      </c>
      <c r="B15" s="7" t="s">
        <v>42</v>
      </c>
      <c r="C15" s="6">
        <v>14</v>
      </c>
      <c r="D15" s="7" t="s">
        <v>15</v>
      </c>
      <c r="E15" s="6">
        <v>2</v>
      </c>
      <c r="F15" s="7" t="s">
        <v>13</v>
      </c>
      <c r="G15" s="6">
        <v>14</v>
      </c>
      <c r="H15" s="7"/>
      <c r="J15" s="7"/>
      <c r="L15" s="7"/>
      <c r="N15" s="7"/>
      <c r="P15" s="7"/>
      <c r="R15" s="7"/>
      <c r="T15" s="7"/>
      <c r="V15" s="7"/>
      <c r="X15" s="7"/>
      <c r="Z15" s="7"/>
      <c r="AB15" s="6" t="s">
        <v>22</v>
      </c>
      <c r="AC15" s="6" t="b">
        <f t="shared" si="0"/>
        <v>1</v>
      </c>
      <c r="AE15" s="6">
        <f>(+E15+G15)</f>
        <v>16</v>
      </c>
      <c r="AF15" s="6">
        <f>(+C15+E15)</f>
        <v>16</v>
      </c>
      <c r="AG15" s="6">
        <f>(+C15+E15+G15)</f>
        <v>30</v>
      </c>
      <c r="AH15" s="6">
        <f>(+G15)</f>
        <v>14</v>
      </c>
      <c r="AI15" s="6">
        <f>(+C15+G15)</f>
        <v>28</v>
      </c>
      <c r="AO15" s="6" t="s">
        <v>22</v>
      </c>
      <c r="AP15" s="6">
        <v>16</v>
      </c>
      <c r="AQ15" s="6">
        <v>16</v>
      </c>
      <c r="AR15" s="6">
        <v>30</v>
      </c>
      <c r="AS15" s="6">
        <v>14</v>
      </c>
      <c r="AT15" s="6">
        <v>28</v>
      </c>
      <c r="BA15" s="6">
        <f t="shared" si="1"/>
        <v>30</v>
      </c>
      <c r="BB15" s="2"/>
      <c r="BC15" s="2"/>
      <c r="BD15" s="10">
        <v>30</v>
      </c>
      <c r="BE15" s="2" t="b">
        <f t="shared" si="5"/>
        <v>1</v>
      </c>
      <c r="BF15" s="10">
        <v>30</v>
      </c>
      <c r="BG15" s="2" t="b">
        <f t="shared" si="2"/>
        <v>1</v>
      </c>
      <c r="BH15" s="10">
        <v>30</v>
      </c>
      <c r="BI15" s="2" t="b">
        <f t="shared" si="3"/>
        <v>1</v>
      </c>
      <c r="BJ15" s="10">
        <v>30</v>
      </c>
      <c r="BK15" s="2" t="b">
        <f t="shared" si="4"/>
        <v>1</v>
      </c>
      <c r="BL15" s="2"/>
    </row>
    <row r="16" spans="1:65" x14ac:dyDescent="0.2">
      <c r="A16" s="2" t="s">
        <v>108</v>
      </c>
      <c r="B16" s="5" t="s">
        <v>109</v>
      </c>
      <c r="C16" s="2">
        <v>2</v>
      </c>
      <c r="D16" s="5" t="s">
        <v>40</v>
      </c>
      <c r="E16" s="2">
        <v>6</v>
      </c>
      <c r="F16" s="5" t="s">
        <v>20</v>
      </c>
      <c r="G16" s="2">
        <v>14</v>
      </c>
      <c r="H16" s="5" t="s">
        <v>16</v>
      </c>
      <c r="I16" s="2">
        <v>16</v>
      </c>
      <c r="AB16" s="4" t="s">
        <v>22</v>
      </c>
      <c r="AC16" s="2" t="b">
        <f t="shared" si="0"/>
        <v>0</v>
      </c>
      <c r="AE16" s="2">
        <f>(+C16+E16+G16)</f>
        <v>22</v>
      </c>
      <c r="AF16" s="2">
        <f>(+C16+G16+I16)</f>
        <v>32</v>
      </c>
      <c r="AG16" s="2">
        <f>(+E16+G16+I16)</f>
        <v>36</v>
      </c>
      <c r="AH16" s="2">
        <f>(+E16+I16)</f>
        <v>22</v>
      </c>
      <c r="AI16" s="2">
        <f>(+C16+G16+I16)</f>
        <v>32</v>
      </c>
      <c r="AJ16" s="2">
        <f>(+C16+G16)</f>
        <v>16</v>
      </c>
      <c r="AO16" s="4" t="s">
        <v>22</v>
      </c>
      <c r="AP16" s="2">
        <v>35</v>
      </c>
      <c r="AQ16" s="2">
        <v>34</v>
      </c>
      <c r="AR16" s="2">
        <v>40</v>
      </c>
      <c r="AS16" s="2">
        <v>37</v>
      </c>
      <c r="AT16" s="2">
        <v>34</v>
      </c>
      <c r="AU16" s="2">
        <v>16</v>
      </c>
      <c r="BA16" s="2">
        <f t="shared" si="1"/>
        <v>38</v>
      </c>
      <c r="BD16" s="10">
        <v>53</v>
      </c>
      <c r="BE16" s="2" t="b">
        <f t="shared" si="5"/>
        <v>0</v>
      </c>
      <c r="BF16" s="10">
        <v>53</v>
      </c>
      <c r="BG16" s="2" t="b">
        <f t="shared" si="2"/>
        <v>1</v>
      </c>
      <c r="BH16" s="10">
        <v>53</v>
      </c>
      <c r="BI16" s="2" t="b">
        <f t="shared" si="3"/>
        <v>1</v>
      </c>
      <c r="BJ16" s="10">
        <v>53</v>
      </c>
      <c r="BK16" s="2" t="b">
        <f t="shared" si="4"/>
        <v>1</v>
      </c>
    </row>
    <row r="17" spans="1:64" x14ac:dyDescent="0.2">
      <c r="A17" s="2" t="s">
        <v>110</v>
      </c>
      <c r="B17" s="5" t="s">
        <v>111</v>
      </c>
      <c r="C17" s="2">
        <v>0</v>
      </c>
      <c r="D17" s="5" t="s">
        <v>112</v>
      </c>
      <c r="E17" s="2">
        <v>0</v>
      </c>
      <c r="F17" s="5" t="s">
        <v>113</v>
      </c>
      <c r="G17" s="2">
        <v>0</v>
      </c>
      <c r="H17" s="5" t="s">
        <v>34</v>
      </c>
      <c r="I17" s="2">
        <v>0</v>
      </c>
      <c r="J17" s="5" t="s">
        <v>114</v>
      </c>
      <c r="K17" s="2">
        <v>0</v>
      </c>
      <c r="L17" s="5" t="s">
        <v>55</v>
      </c>
      <c r="M17" s="2">
        <v>0</v>
      </c>
      <c r="N17" s="5" t="s">
        <v>115</v>
      </c>
      <c r="O17" s="2">
        <v>0</v>
      </c>
      <c r="P17" s="5" t="s">
        <v>116</v>
      </c>
      <c r="Q17" s="2">
        <v>0</v>
      </c>
      <c r="AB17" s="4" t="s">
        <v>22</v>
      </c>
      <c r="AC17" s="2" t="b">
        <f t="shared" si="0"/>
        <v>0</v>
      </c>
      <c r="AE17" s="2">
        <f>(+E17+I17+K17+M17)</f>
        <v>0</v>
      </c>
      <c r="AF17" s="2">
        <f>(+C17+K17+M17+O17+Q17)</f>
        <v>0</v>
      </c>
      <c r="AG17" s="2">
        <f>(+E17+G17+I17+K17+M17+Q17)</f>
        <v>0</v>
      </c>
      <c r="AH17" s="2">
        <f>(+C17+E17+I17+K17+M17+Q17)</f>
        <v>0</v>
      </c>
      <c r="AI17" s="2">
        <f>(+C17+E17+I17+Q17)</f>
        <v>0</v>
      </c>
      <c r="AJ17" s="2">
        <f>(+C17+I17+K17+M17+O17+Q17)</f>
        <v>0</v>
      </c>
      <c r="AK17" s="2">
        <f>(+C17+E17+G17+M17)</f>
        <v>0</v>
      </c>
      <c r="AO17" s="4" t="s">
        <v>22</v>
      </c>
      <c r="AP17" s="2">
        <v>245</v>
      </c>
      <c r="AQ17" s="2">
        <v>73</v>
      </c>
      <c r="AR17" s="2">
        <v>271</v>
      </c>
      <c r="AS17" s="2">
        <v>260</v>
      </c>
      <c r="AT17" s="2">
        <v>222</v>
      </c>
      <c r="AU17" s="2">
        <v>272</v>
      </c>
      <c r="AV17" s="2">
        <v>45</v>
      </c>
      <c r="BA17" s="2">
        <f t="shared" si="1"/>
        <v>0</v>
      </c>
      <c r="BD17" s="10">
        <v>0</v>
      </c>
      <c r="BE17" s="2" t="b">
        <f t="shared" si="5"/>
        <v>0</v>
      </c>
      <c r="BF17" s="10">
        <v>0</v>
      </c>
      <c r="BG17" s="2" t="b">
        <f t="shared" si="2"/>
        <v>1</v>
      </c>
      <c r="BH17" s="10">
        <v>0</v>
      </c>
      <c r="BI17" s="2" t="b">
        <f t="shared" si="3"/>
        <v>1</v>
      </c>
      <c r="BJ17" s="10">
        <v>291</v>
      </c>
      <c r="BK17" s="2" t="b">
        <f t="shared" si="4"/>
        <v>0</v>
      </c>
      <c r="BL17" s="2">
        <v>291</v>
      </c>
    </row>
    <row r="18" spans="1:64" x14ac:dyDescent="0.2">
      <c r="A18" s="2" t="s">
        <v>117</v>
      </c>
      <c r="B18" s="5" t="s">
        <v>16</v>
      </c>
      <c r="C18" s="2">
        <v>0</v>
      </c>
      <c r="D18" s="5" t="s">
        <v>7</v>
      </c>
      <c r="E18" s="2">
        <v>0</v>
      </c>
      <c r="F18" s="5" t="s">
        <v>106</v>
      </c>
      <c r="G18" s="2">
        <v>0</v>
      </c>
      <c r="H18" s="5" t="s">
        <v>118</v>
      </c>
      <c r="I18" s="2">
        <v>0</v>
      </c>
      <c r="J18" s="5" t="s">
        <v>20</v>
      </c>
      <c r="K18" s="2">
        <v>0</v>
      </c>
      <c r="L18" s="5" t="s">
        <v>97</v>
      </c>
      <c r="M18" s="2">
        <v>0</v>
      </c>
      <c r="N18" s="5" t="s">
        <v>119</v>
      </c>
      <c r="O18" s="2">
        <v>0</v>
      </c>
      <c r="P18" s="5" t="s">
        <v>27</v>
      </c>
      <c r="Q18" s="2">
        <v>0</v>
      </c>
      <c r="AB18" s="4" t="s">
        <v>22</v>
      </c>
      <c r="AC18" s="2" t="b">
        <f t="shared" si="0"/>
        <v>0</v>
      </c>
      <c r="AE18" s="2">
        <f>(+G18+K18+Q18)</f>
        <v>0</v>
      </c>
      <c r="AF18" s="2">
        <f>(+C18+E18+I18+K18+Q18)</f>
        <v>0</v>
      </c>
      <c r="AG18" s="2">
        <f>(+C18+G18+K18+M18+Q18)</f>
        <v>0</v>
      </c>
      <c r="AH18" s="2">
        <f>(+C18+E18+I18+M18+O18+Q18)</f>
        <v>0</v>
      </c>
      <c r="AI18" s="2">
        <f>(+C18+G18+I18+K18+O18)</f>
        <v>0</v>
      </c>
      <c r="AJ18" s="2">
        <f>(+K18+M18+O18)</f>
        <v>0</v>
      </c>
      <c r="AO18" s="4" t="s">
        <v>22</v>
      </c>
      <c r="AP18" s="2">
        <v>31</v>
      </c>
      <c r="AQ18" s="2">
        <v>71</v>
      </c>
      <c r="AR18" s="2">
        <v>57</v>
      </c>
      <c r="AS18" s="2">
        <v>84</v>
      </c>
      <c r="AT18" s="2">
        <v>46</v>
      </c>
      <c r="AU18" s="2">
        <v>35</v>
      </c>
      <c r="BA18" s="2">
        <f t="shared" si="1"/>
        <v>0</v>
      </c>
      <c r="BD18" s="10">
        <v>0</v>
      </c>
      <c r="BE18" s="2" t="b">
        <f t="shared" si="5"/>
        <v>0</v>
      </c>
      <c r="BF18" s="10">
        <v>0</v>
      </c>
      <c r="BG18" s="2" t="b">
        <f t="shared" si="2"/>
        <v>1</v>
      </c>
      <c r="BH18" s="10">
        <v>95</v>
      </c>
      <c r="BI18" s="2" t="b">
        <f t="shared" si="3"/>
        <v>0</v>
      </c>
      <c r="BJ18" s="10">
        <v>95</v>
      </c>
      <c r="BK18" s="2" t="b">
        <f t="shared" si="4"/>
        <v>1</v>
      </c>
    </row>
    <row r="19" spans="1:64" x14ac:dyDescent="0.2">
      <c r="A19" s="2" t="s">
        <v>120</v>
      </c>
      <c r="B19" s="5" t="s">
        <v>21</v>
      </c>
      <c r="C19" s="2">
        <v>0</v>
      </c>
      <c r="D19" s="5" t="s">
        <v>121</v>
      </c>
      <c r="E19" s="2">
        <v>0</v>
      </c>
      <c r="F19" s="5" t="s">
        <v>122</v>
      </c>
      <c r="G19" s="2">
        <v>0</v>
      </c>
      <c r="H19" s="5" t="s">
        <v>123</v>
      </c>
      <c r="I19" s="2">
        <v>0</v>
      </c>
      <c r="J19" s="5" t="s">
        <v>19</v>
      </c>
      <c r="K19" s="2">
        <v>0</v>
      </c>
      <c r="L19" s="5" t="s">
        <v>124</v>
      </c>
      <c r="M19" s="2">
        <v>0</v>
      </c>
      <c r="N19" s="5" t="s">
        <v>20</v>
      </c>
      <c r="O19" s="2">
        <v>0</v>
      </c>
      <c r="P19" s="5" t="s">
        <v>56</v>
      </c>
      <c r="Q19" s="2">
        <v>0</v>
      </c>
      <c r="R19" s="5" t="s">
        <v>125</v>
      </c>
      <c r="S19" s="2">
        <v>0</v>
      </c>
      <c r="T19" s="5" t="s">
        <v>42</v>
      </c>
      <c r="U19" s="2">
        <v>0</v>
      </c>
      <c r="AB19" s="4" t="s">
        <v>22</v>
      </c>
      <c r="AC19" s="2" t="b">
        <f t="shared" si="0"/>
        <v>0</v>
      </c>
      <c r="AE19" s="2">
        <f>(+E19+G19+K19+O19+S19)</f>
        <v>0</v>
      </c>
      <c r="AF19" s="2">
        <f>(+C19+G19+I19+O19+S19+U19)</f>
        <v>0</v>
      </c>
      <c r="AG19" s="2">
        <f>(+C19+E19+G19+O19+Q19+S19+U19)</f>
        <v>0</v>
      </c>
      <c r="AH19" s="2">
        <f>(+E19+K19)</f>
        <v>0</v>
      </c>
      <c r="AI19" s="2">
        <f>(+I19+K19+O19+S19+U19)</f>
        <v>0</v>
      </c>
      <c r="AJ19" s="2">
        <f>(+M19+O19+Q19+S19)</f>
        <v>0</v>
      </c>
      <c r="AK19" s="2">
        <f>(+E19+G19+M19)</f>
        <v>0</v>
      </c>
      <c r="AL19" s="2">
        <f>(+E19+I19+M19+S19)</f>
        <v>0</v>
      </c>
      <c r="AO19" s="4" t="s">
        <v>22</v>
      </c>
      <c r="AP19" s="2">
        <v>169</v>
      </c>
      <c r="AQ19" s="2">
        <v>90</v>
      </c>
      <c r="AR19" s="2">
        <v>115</v>
      </c>
      <c r="AS19" s="2">
        <v>126</v>
      </c>
      <c r="AT19" s="2">
        <v>166</v>
      </c>
      <c r="AU19" s="2">
        <v>66</v>
      </c>
      <c r="AV19" s="2">
        <v>52</v>
      </c>
      <c r="AW19" s="2">
        <v>68</v>
      </c>
      <c r="BA19" s="2">
        <f t="shared" si="1"/>
        <v>0</v>
      </c>
      <c r="BD19" s="10">
        <v>239</v>
      </c>
      <c r="BE19" s="2" t="b">
        <f t="shared" si="5"/>
        <v>0</v>
      </c>
      <c r="BF19" s="10">
        <v>239</v>
      </c>
      <c r="BG19" s="2" t="b">
        <f t="shared" si="2"/>
        <v>1</v>
      </c>
      <c r="BH19" s="10">
        <v>239</v>
      </c>
      <c r="BI19" s="2" t="b">
        <f t="shared" si="3"/>
        <v>1</v>
      </c>
      <c r="BJ19" s="10">
        <v>239</v>
      </c>
      <c r="BK19" s="2" t="b">
        <f t="shared" si="4"/>
        <v>1</v>
      </c>
    </row>
    <row r="20" spans="1:64" x14ac:dyDescent="0.2">
      <c r="A20" s="2" t="s">
        <v>126</v>
      </c>
      <c r="B20" s="5" t="s">
        <v>42</v>
      </c>
      <c r="C20" s="2">
        <v>0</v>
      </c>
      <c r="D20" s="5" t="s">
        <v>16</v>
      </c>
      <c r="E20" s="2">
        <v>0</v>
      </c>
      <c r="F20" s="5" t="s">
        <v>39</v>
      </c>
      <c r="G20" s="2">
        <v>0</v>
      </c>
      <c r="AB20" s="4" t="s">
        <v>22</v>
      </c>
      <c r="AC20" s="2" t="b">
        <f t="shared" si="0"/>
        <v>0</v>
      </c>
      <c r="AE20" s="2">
        <f>(+G20)</f>
        <v>0</v>
      </c>
      <c r="AF20" s="2">
        <f>(+C20+E20+G20)</f>
        <v>0</v>
      </c>
      <c r="AG20" s="2">
        <f>(+C20+E20)</f>
        <v>0</v>
      </c>
      <c r="AH20" s="2">
        <f>(+E20+G20)</f>
        <v>0</v>
      </c>
      <c r="AI20" s="2">
        <f>(+C20+E20)</f>
        <v>0</v>
      </c>
      <c r="AO20" s="4" t="s">
        <v>22</v>
      </c>
      <c r="AP20" s="2">
        <v>179</v>
      </c>
      <c r="AQ20" s="2">
        <v>196</v>
      </c>
      <c r="AR20" s="2">
        <v>17</v>
      </c>
      <c r="AS20" s="2">
        <v>188</v>
      </c>
      <c r="AT20" s="2">
        <v>17</v>
      </c>
      <c r="BA20" s="2">
        <f t="shared" si="1"/>
        <v>0</v>
      </c>
      <c r="BD20" s="10">
        <v>196</v>
      </c>
      <c r="BE20" s="2" t="b">
        <f t="shared" si="5"/>
        <v>0</v>
      </c>
      <c r="BF20" s="10">
        <v>196</v>
      </c>
      <c r="BG20" s="2" t="b">
        <f t="shared" si="2"/>
        <v>1</v>
      </c>
      <c r="BH20" s="10">
        <v>196</v>
      </c>
      <c r="BI20" s="2" t="b">
        <f t="shared" si="3"/>
        <v>1</v>
      </c>
      <c r="BJ20" s="10">
        <v>196</v>
      </c>
      <c r="BK20" s="2" t="b">
        <f t="shared" si="4"/>
        <v>1</v>
      </c>
    </row>
    <row r="21" spans="1:64" x14ac:dyDescent="0.2">
      <c r="A21" s="2" t="s">
        <v>127</v>
      </c>
      <c r="B21" s="5" t="s">
        <v>6</v>
      </c>
      <c r="C21" s="2">
        <v>0</v>
      </c>
      <c r="D21" s="5" t="s">
        <v>11</v>
      </c>
      <c r="E21" s="2">
        <v>0</v>
      </c>
      <c r="F21" s="5" t="s">
        <v>14</v>
      </c>
      <c r="G21" s="2">
        <v>0</v>
      </c>
      <c r="H21" s="5" t="s">
        <v>128</v>
      </c>
      <c r="I21" s="2">
        <v>0</v>
      </c>
      <c r="J21" s="5" t="s">
        <v>118</v>
      </c>
      <c r="K21" s="2">
        <v>0</v>
      </c>
      <c r="L21" s="5" t="s">
        <v>42</v>
      </c>
      <c r="M21" s="2">
        <v>0</v>
      </c>
      <c r="N21" s="5" t="s">
        <v>38</v>
      </c>
      <c r="O21" s="2">
        <v>0</v>
      </c>
      <c r="AB21" s="4" t="s">
        <v>22</v>
      </c>
      <c r="AC21" s="2" t="b">
        <f t="shared" si="0"/>
        <v>0</v>
      </c>
      <c r="AE21" s="2">
        <f>(+E21+G21+I21)</f>
        <v>0</v>
      </c>
      <c r="AF21" s="2">
        <f>(+E21+I21+K21+M21+O21)</f>
        <v>0</v>
      </c>
      <c r="AG21" s="2">
        <f>(+M21)</f>
        <v>0</v>
      </c>
      <c r="AH21" s="2">
        <f>(+C21+K21)</f>
        <v>0</v>
      </c>
      <c r="AI21" s="2">
        <f>(+G21+I21+K21+M21)</f>
        <v>0</v>
      </c>
      <c r="AO21" s="4" t="s">
        <v>22</v>
      </c>
      <c r="AP21" s="2">
        <v>21</v>
      </c>
      <c r="AQ21" s="2">
        <v>147</v>
      </c>
      <c r="AR21" s="2">
        <v>3</v>
      </c>
      <c r="AS21" s="2">
        <v>18</v>
      </c>
      <c r="AT21" s="2">
        <v>32</v>
      </c>
      <c r="BA21" s="2">
        <f t="shared" si="1"/>
        <v>0</v>
      </c>
      <c r="BD21" s="10">
        <v>147</v>
      </c>
      <c r="BE21" s="2" t="b">
        <f t="shared" si="5"/>
        <v>0</v>
      </c>
      <c r="BF21" s="10">
        <v>147</v>
      </c>
      <c r="BG21" s="2" t="b">
        <f t="shared" si="2"/>
        <v>1</v>
      </c>
      <c r="BH21" s="10">
        <v>147</v>
      </c>
      <c r="BI21" s="2" t="b">
        <f t="shared" si="3"/>
        <v>1</v>
      </c>
      <c r="BJ21" s="10">
        <v>147</v>
      </c>
      <c r="BK21" s="2" t="b">
        <f t="shared" si="4"/>
        <v>1</v>
      </c>
    </row>
    <row r="22" spans="1:64" x14ac:dyDescent="0.2">
      <c r="A22" s="2" t="s">
        <v>129</v>
      </c>
      <c r="B22" s="5" t="s">
        <v>118</v>
      </c>
      <c r="C22" s="2">
        <v>0</v>
      </c>
      <c r="D22" s="5" t="s">
        <v>109</v>
      </c>
      <c r="E22" s="2">
        <v>0</v>
      </c>
      <c r="F22" s="5" t="s">
        <v>97</v>
      </c>
      <c r="G22" s="2">
        <v>0</v>
      </c>
      <c r="H22" s="5" t="s">
        <v>47</v>
      </c>
      <c r="I22" s="2">
        <v>0</v>
      </c>
      <c r="J22" s="5" t="s">
        <v>40</v>
      </c>
      <c r="K22" s="2">
        <v>0</v>
      </c>
      <c r="L22" s="5" t="s">
        <v>130</v>
      </c>
      <c r="M22" s="2">
        <v>0</v>
      </c>
      <c r="N22" s="5" t="s">
        <v>131</v>
      </c>
      <c r="O22" s="2">
        <v>0</v>
      </c>
      <c r="AB22" s="4" t="s">
        <v>22</v>
      </c>
      <c r="AC22" s="2" t="b">
        <f t="shared" si="0"/>
        <v>0</v>
      </c>
      <c r="AE22" s="2">
        <f>(+E22+I22+K22)</f>
        <v>0</v>
      </c>
      <c r="AF22" s="2">
        <f>(+C22+E22+M22+O22)</f>
        <v>0</v>
      </c>
      <c r="AG22" s="2">
        <f>(+G22+K22+M22+O22)</f>
        <v>0</v>
      </c>
      <c r="AH22" s="2">
        <f>(+C22+G22+I22+K22+M22)</f>
        <v>0</v>
      </c>
      <c r="AI22" s="2">
        <f>(+C22+E22)</f>
        <v>0</v>
      </c>
      <c r="AJ22" s="2">
        <f>(+E22+G22+M22+O22)</f>
        <v>0</v>
      </c>
      <c r="AO22" s="4" t="s">
        <v>22</v>
      </c>
      <c r="AP22" s="2">
        <v>33</v>
      </c>
      <c r="AQ22" s="2">
        <v>22</v>
      </c>
      <c r="AR22" s="2">
        <v>43</v>
      </c>
      <c r="AS22" s="2">
        <v>42</v>
      </c>
      <c r="AT22" s="2">
        <v>6</v>
      </c>
      <c r="AU22" s="2">
        <v>32</v>
      </c>
      <c r="BA22" s="2">
        <f t="shared" si="1"/>
        <v>0</v>
      </c>
      <c r="BD22" s="10">
        <v>59</v>
      </c>
      <c r="BE22" s="2" t="b">
        <f t="shared" si="5"/>
        <v>0</v>
      </c>
      <c r="BF22" s="10">
        <v>59</v>
      </c>
      <c r="BG22" s="2" t="b">
        <f t="shared" si="2"/>
        <v>1</v>
      </c>
      <c r="BH22" s="10">
        <v>59</v>
      </c>
      <c r="BI22" s="2" t="b">
        <f t="shared" si="3"/>
        <v>1</v>
      </c>
      <c r="BJ22" s="10">
        <v>59</v>
      </c>
      <c r="BK22" s="2" t="b">
        <f t="shared" si="4"/>
        <v>1</v>
      </c>
    </row>
    <row r="23" spans="1:64" x14ac:dyDescent="0.2">
      <c r="A23" s="2" t="s">
        <v>132</v>
      </c>
      <c r="B23" s="5" t="s">
        <v>133</v>
      </c>
      <c r="C23" s="2">
        <v>0</v>
      </c>
      <c r="D23" s="5" t="s">
        <v>134</v>
      </c>
      <c r="E23" s="2">
        <v>0</v>
      </c>
      <c r="F23" s="5" t="s">
        <v>135</v>
      </c>
      <c r="G23" s="2">
        <v>0</v>
      </c>
      <c r="H23" s="5" t="s">
        <v>136</v>
      </c>
      <c r="I23" s="2">
        <v>0</v>
      </c>
      <c r="J23" s="5" t="s">
        <v>45</v>
      </c>
      <c r="K23" s="2">
        <v>0</v>
      </c>
      <c r="L23" s="5" t="s">
        <v>137</v>
      </c>
      <c r="M23" s="2">
        <v>0</v>
      </c>
      <c r="N23" s="5" t="s">
        <v>68</v>
      </c>
      <c r="O23" s="2">
        <v>0</v>
      </c>
      <c r="AB23" s="4" t="s">
        <v>22</v>
      </c>
      <c r="AC23" s="2" t="b">
        <f t="shared" si="0"/>
        <v>0</v>
      </c>
      <c r="AE23" s="2">
        <f>(+C23+I23+K23+M23+O23)</f>
        <v>0</v>
      </c>
      <c r="AF23" s="2">
        <f>(+C23+G23+I23+M23)</f>
        <v>0</v>
      </c>
      <c r="AG23" s="2">
        <f>(+C23+E23+M23)</f>
        <v>0</v>
      </c>
      <c r="AH23" s="2">
        <f>(+C23+G23+I23+M23+O23)</f>
        <v>0</v>
      </c>
      <c r="AI23" s="2">
        <f>(+C23+I23+M23)</f>
        <v>0</v>
      </c>
      <c r="AJ23" s="2">
        <f>(+E23+K23+M23)</f>
        <v>0</v>
      </c>
      <c r="AK23" s="2">
        <f>(+C23+E23+G23+I23+M23)</f>
        <v>0</v>
      </c>
      <c r="AL23" s="2">
        <f>(+G23+I23+O23)</f>
        <v>0</v>
      </c>
      <c r="AO23" s="4" t="s">
        <v>22</v>
      </c>
      <c r="AP23" s="2">
        <v>73</v>
      </c>
      <c r="AQ23" s="2">
        <v>44</v>
      </c>
      <c r="AR23" s="2">
        <v>44</v>
      </c>
      <c r="AS23" s="2">
        <v>55</v>
      </c>
      <c r="AT23" s="2">
        <v>44</v>
      </c>
      <c r="AU23" s="2">
        <v>51</v>
      </c>
      <c r="AV23" s="2">
        <v>60</v>
      </c>
      <c r="AW23" s="2">
        <v>27</v>
      </c>
      <c r="BA23" s="2">
        <f t="shared" si="1"/>
        <v>0</v>
      </c>
      <c r="BD23" s="10">
        <v>0</v>
      </c>
      <c r="BE23" s="2" t="b">
        <f t="shared" si="5"/>
        <v>0</v>
      </c>
      <c r="BF23" s="10">
        <v>0</v>
      </c>
      <c r="BG23" s="2" t="b">
        <f t="shared" si="2"/>
        <v>1</v>
      </c>
      <c r="BH23" s="10">
        <v>89</v>
      </c>
      <c r="BI23" s="2" t="b">
        <f t="shared" si="3"/>
        <v>0</v>
      </c>
      <c r="BJ23" s="10">
        <v>89</v>
      </c>
      <c r="BK23" s="2" t="b">
        <f t="shared" si="4"/>
        <v>1</v>
      </c>
    </row>
    <row r="24" spans="1:64" x14ac:dyDescent="0.2">
      <c r="A24" s="2" t="s">
        <v>138</v>
      </c>
      <c r="B24" s="5" t="s">
        <v>113</v>
      </c>
      <c r="C24" s="2">
        <v>0</v>
      </c>
      <c r="D24" s="5" t="s">
        <v>139</v>
      </c>
      <c r="E24" s="2">
        <v>0</v>
      </c>
      <c r="F24" s="5" t="s">
        <v>115</v>
      </c>
      <c r="G24" s="2">
        <v>0</v>
      </c>
      <c r="H24" s="5" t="s">
        <v>140</v>
      </c>
      <c r="I24" s="2">
        <v>0</v>
      </c>
      <c r="J24" s="5" t="s">
        <v>141</v>
      </c>
      <c r="K24" s="2">
        <v>0</v>
      </c>
      <c r="L24" s="5" t="s">
        <v>142</v>
      </c>
      <c r="M24" s="2">
        <v>0</v>
      </c>
      <c r="N24" s="5" t="s">
        <v>143</v>
      </c>
      <c r="O24" s="2">
        <v>0</v>
      </c>
      <c r="P24" s="5" t="s">
        <v>144</v>
      </c>
      <c r="Q24" s="2">
        <v>0</v>
      </c>
      <c r="R24" s="5" t="s">
        <v>94</v>
      </c>
      <c r="S24" s="2">
        <v>0</v>
      </c>
      <c r="T24" s="5" t="s">
        <v>145</v>
      </c>
      <c r="U24" s="2">
        <v>0</v>
      </c>
      <c r="AB24" s="4" t="s">
        <v>22</v>
      </c>
      <c r="AC24" s="2" t="b">
        <f t="shared" si="0"/>
        <v>0</v>
      </c>
      <c r="AE24" s="2">
        <f>(+I24+K24+M24+O24+U24)</f>
        <v>0</v>
      </c>
      <c r="AF24" s="2">
        <f>(+G24+K24+M24)</f>
        <v>0</v>
      </c>
      <c r="AG24" s="2">
        <f>(+C24+E24+M24+O24+Q24+S24)</f>
        <v>0</v>
      </c>
      <c r="AH24" s="2">
        <f>(+I24+K24+O24+S24+U24)</f>
        <v>0</v>
      </c>
      <c r="AI24" s="2">
        <f>(+K24+M24+O24+Q24+S24)</f>
        <v>0</v>
      </c>
      <c r="AJ24" s="2">
        <f>(+G24+K24+M24+Q24+S24)</f>
        <v>0</v>
      </c>
      <c r="AK24" s="2">
        <f>(+C24+E24+I24+M24+O24+Q24+S24+U24)</f>
        <v>0</v>
      </c>
      <c r="AL24" s="2">
        <f>(+E24+I24+M24+O24+S24+U24)</f>
        <v>0</v>
      </c>
      <c r="AM24" s="2">
        <f>(+K24+M24+Q24+S24+U24)</f>
        <v>0</v>
      </c>
      <c r="AO24" s="4" t="s">
        <v>22</v>
      </c>
      <c r="AP24" s="2">
        <v>62</v>
      </c>
      <c r="AQ24" s="2">
        <v>39</v>
      </c>
      <c r="AR24" s="2">
        <v>169</v>
      </c>
      <c r="AS24" s="2">
        <v>48</v>
      </c>
      <c r="AT24" s="2">
        <v>160</v>
      </c>
      <c r="AU24" s="2">
        <v>154</v>
      </c>
      <c r="AV24" s="2">
        <v>186</v>
      </c>
      <c r="AW24" s="2">
        <v>75</v>
      </c>
      <c r="AX24" s="2">
        <v>146</v>
      </c>
      <c r="BA24" s="2">
        <f t="shared" si="1"/>
        <v>0</v>
      </c>
      <c r="BD24" s="10">
        <v>0</v>
      </c>
      <c r="BE24" s="2" t="b">
        <f t="shared" si="5"/>
        <v>0</v>
      </c>
      <c r="BF24" s="10">
        <v>0</v>
      </c>
      <c r="BG24" s="2" t="b">
        <f t="shared" si="2"/>
        <v>1</v>
      </c>
      <c r="BH24" s="10">
        <v>196</v>
      </c>
      <c r="BI24" s="2" t="b">
        <f t="shared" si="3"/>
        <v>0</v>
      </c>
      <c r="BJ24" s="10">
        <v>196</v>
      </c>
      <c r="BK24" s="2" t="b">
        <f t="shared" si="4"/>
        <v>1</v>
      </c>
    </row>
    <row r="25" spans="1:64" x14ac:dyDescent="0.2">
      <c r="A25" s="2" t="s">
        <v>146</v>
      </c>
      <c r="B25" s="5" t="s">
        <v>40</v>
      </c>
      <c r="C25" s="2">
        <v>0</v>
      </c>
      <c r="D25" s="5" t="s">
        <v>113</v>
      </c>
      <c r="E25" s="2">
        <v>0</v>
      </c>
      <c r="F25" s="5" t="s">
        <v>147</v>
      </c>
      <c r="G25" s="2">
        <v>0</v>
      </c>
      <c r="H25" s="5" t="s">
        <v>148</v>
      </c>
      <c r="I25" s="2">
        <v>0</v>
      </c>
      <c r="J25" s="5" t="s">
        <v>149</v>
      </c>
      <c r="K25" s="2">
        <v>0</v>
      </c>
      <c r="L25" s="5" t="s">
        <v>44</v>
      </c>
      <c r="M25" s="2">
        <v>0</v>
      </c>
      <c r="N25" s="5" t="s">
        <v>20</v>
      </c>
      <c r="O25" s="2">
        <v>0</v>
      </c>
      <c r="AB25" s="4" t="s">
        <v>22</v>
      </c>
      <c r="AC25" s="2" t="b">
        <f t="shared" si="0"/>
        <v>0</v>
      </c>
      <c r="AE25" s="2">
        <f>(+C25+O25)</f>
        <v>0</v>
      </c>
      <c r="AF25" s="2">
        <f>(+O25)</f>
        <v>0</v>
      </c>
      <c r="AG25" s="2">
        <f>(+C25+E25+G25+I25+K25+O25)</f>
        <v>0</v>
      </c>
      <c r="AH25" s="2">
        <f>(+C25+G25+I25)</f>
        <v>0</v>
      </c>
      <c r="AI25" s="2">
        <f>(+G25+K25+M25+O25)</f>
        <v>0</v>
      </c>
      <c r="AJ25" s="2">
        <f>(+G25+K25+M25+O25)</f>
        <v>0</v>
      </c>
      <c r="AK25" s="2">
        <f>(+E25+G25+I25+K25)</f>
        <v>0</v>
      </c>
      <c r="AO25" s="4" t="s">
        <v>22</v>
      </c>
      <c r="AP25" s="2">
        <v>22</v>
      </c>
      <c r="AQ25" s="2">
        <v>8</v>
      </c>
      <c r="AR25" s="2">
        <v>188</v>
      </c>
      <c r="AS25" s="2">
        <v>37</v>
      </c>
      <c r="AT25" s="2">
        <v>46</v>
      </c>
      <c r="AU25" s="2">
        <v>46</v>
      </c>
      <c r="AV25" s="2">
        <v>166</v>
      </c>
      <c r="BA25" s="2">
        <f t="shared" si="1"/>
        <v>0</v>
      </c>
      <c r="BD25" s="10">
        <v>188</v>
      </c>
      <c r="BE25" s="2" t="b">
        <f t="shared" si="5"/>
        <v>0</v>
      </c>
      <c r="BF25" s="10">
        <v>188</v>
      </c>
      <c r="BG25" s="2" t="b">
        <f t="shared" si="2"/>
        <v>1</v>
      </c>
      <c r="BH25" s="10">
        <v>188</v>
      </c>
      <c r="BI25" s="2" t="b">
        <f t="shared" si="3"/>
        <v>1</v>
      </c>
      <c r="BJ25" s="10">
        <v>188</v>
      </c>
      <c r="BK25" s="2" t="b">
        <f t="shared" si="4"/>
        <v>1</v>
      </c>
    </row>
    <row r="26" spans="1:64" x14ac:dyDescent="0.2">
      <c r="A26" s="2" t="s">
        <v>150</v>
      </c>
      <c r="B26" s="5" t="s">
        <v>11</v>
      </c>
      <c r="C26" s="2">
        <v>0</v>
      </c>
      <c r="D26" s="5" t="s">
        <v>151</v>
      </c>
      <c r="E26" s="2">
        <v>0</v>
      </c>
      <c r="F26" s="5" t="s">
        <v>45</v>
      </c>
      <c r="G26" s="2">
        <v>0</v>
      </c>
      <c r="H26" s="5" t="s">
        <v>152</v>
      </c>
      <c r="I26" s="2">
        <v>0</v>
      </c>
      <c r="J26" s="5" t="s">
        <v>14</v>
      </c>
      <c r="K26" s="2">
        <v>0</v>
      </c>
      <c r="L26" s="5" t="s">
        <v>13</v>
      </c>
      <c r="M26" s="2">
        <v>0</v>
      </c>
      <c r="AB26" s="4" t="s">
        <v>22</v>
      </c>
      <c r="AC26" s="2" t="b">
        <f t="shared" si="0"/>
        <v>0</v>
      </c>
      <c r="AE26" s="2">
        <f>(+C26+E26+G26+I26+K26+M26)</f>
        <v>0</v>
      </c>
      <c r="AF26" s="2">
        <f>(+C26+I26)</f>
        <v>0</v>
      </c>
      <c r="AG26" s="2">
        <f>(+I26+M26)</f>
        <v>0</v>
      </c>
      <c r="AH26" s="2">
        <f>(+E26+M26)</f>
        <v>0</v>
      </c>
      <c r="AI26" s="2">
        <f>(+I26+K26+M26)</f>
        <v>0</v>
      </c>
      <c r="AJ26" s="2">
        <f>(+E26+G26)</f>
        <v>0</v>
      </c>
      <c r="AO26" s="4" t="s">
        <v>22</v>
      </c>
      <c r="AP26" s="2">
        <v>59</v>
      </c>
      <c r="AQ26" s="2">
        <v>6</v>
      </c>
      <c r="AR26" s="2">
        <v>20</v>
      </c>
      <c r="AS26" s="2">
        <v>30</v>
      </c>
      <c r="AT26" s="2">
        <v>31</v>
      </c>
      <c r="AU26" s="2">
        <v>28</v>
      </c>
      <c r="BA26" s="2">
        <f t="shared" si="1"/>
        <v>0</v>
      </c>
      <c r="BD26" s="10">
        <v>59</v>
      </c>
      <c r="BE26" s="2" t="b">
        <f t="shared" si="5"/>
        <v>0</v>
      </c>
      <c r="BF26" s="10">
        <v>59</v>
      </c>
      <c r="BG26" s="2" t="b">
        <f t="shared" si="2"/>
        <v>1</v>
      </c>
      <c r="BH26" s="10">
        <v>59</v>
      </c>
      <c r="BI26" s="2" t="b">
        <f t="shared" si="3"/>
        <v>1</v>
      </c>
      <c r="BJ26" s="10">
        <v>59</v>
      </c>
      <c r="BK26" s="2" t="b">
        <f t="shared" si="4"/>
        <v>1</v>
      </c>
    </row>
    <row r="27" spans="1:64" x14ac:dyDescent="0.2">
      <c r="A27" s="2" t="s">
        <v>153</v>
      </c>
      <c r="B27" s="5" t="s">
        <v>11</v>
      </c>
      <c r="C27" s="2">
        <v>0</v>
      </c>
      <c r="D27" s="5" t="s">
        <v>154</v>
      </c>
      <c r="E27" s="2">
        <v>0</v>
      </c>
      <c r="F27" s="5" t="s">
        <v>155</v>
      </c>
      <c r="G27" s="2">
        <v>0</v>
      </c>
      <c r="H27" s="5" t="s">
        <v>156</v>
      </c>
      <c r="I27" s="2">
        <v>0</v>
      </c>
      <c r="J27" s="5" t="s">
        <v>24</v>
      </c>
      <c r="K27" s="2">
        <v>0</v>
      </c>
      <c r="L27" s="5" t="s">
        <v>157</v>
      </c>
      <c r="M27" s="2">
        <v>0</v>
      </c>
      <c r="N27" s="5" t="s">
        <v>158</v>
      </c>
      <c r="O27" s="2">
        <v>0</v>
      </c>
      <c r="P27" s="5" t="s">
        <v>148</v>
      </c>
      <c r="Q27" s="2">
        <v>0</v>
      </c>
      <c r="R27" s="5" t="s">
        <v>91</v>
      </c>
      <c r="S27" s="2">
        <v>0</v>
      </c>
      <c r="AB27" s="4" t="s">
        <v>22</v>
      </c>
      <c r="AC27" s="2" t="b">
        <f t="shared" si="0"/>
        <v>0</v>
      </c>
      <c r="AE27" s="2">
        <f>(+C27+E27+G27+I27+M27+O27+S27)</f>
        <v>0</v>
      </c>
      <c r="AF27" s="2">
        <f>(+C27+M27+O27)</f>
        <v>0</v>
      </c>
      <c r="AG27" s="2">
        <f>(+E27+I27+K27+M27+Q27)</f>
        <v>0</v>
      </c>
      <c r="AH27" s="2">
        <f>(+M27+O27+Q27)</f>
        <v>0</v>
      </c>
      <c r="AI27" s="2">
        <f>(+G27+K27+M27)</f>
        <v>0</v>
      </c>
      <c r="AJ27" s="2">
        <f>(+G27+O27+S27)</f>
        <v>0</v>
      </c>
      <c r="AK27" s="2">
        <f>(+E27+G27+M27+Q27+S27)</f>
        <v>0</v>
      </c>
      <c r="AL27" s="2">
        <f>(+E27+I27+M27+O27)</f>
        <v>0</v>
      </c>
      <c r="AO27" s="4" t="s">
        <v>22</v>
      </c>
      <c r="AP27" s="2">
        <v>73</v>
      </c>
      <c r="AQ27" s="2">
        <v>40</v>
      </c>
      <c r="AR27" s="2">
        <v>46</v>
      </c>
      <c r="AS27" s="2">
        <v>24</v>
      </c>
      <c r="AT27" s="2">
        <v>27</v>
      </c>
      <c r="AU27" s="2">
        <v>27</v>
      </c>
      <c r="AV27" s="2">
        <v>22</v>
      </c>
      <c r="AW27" s="2">
        <v>47</v>
      </c>
      <c r="BA27" s="2">
        <f t="shared" si="1"/>
        <v>0</v>
      </c>
      <c r="BD27" s="10">
        <v>0</v>
      </c>
      <c r="BE27" s="2" t="b">
        <f t="shared" si="5"/>
        <v>0</v>
      </c>
      <c r="BF27" s="10">
        <v>0</v>
      </c>
      <c r="BG27" s="2" t="b">
        <f t="shared" si="2"/>
        <v>1</v>
      </c>
      <c r="BH27" s="10">
        <v>89</v>
      </c>
      <c r="BI27" s="2" t="b">
        <f t="shared" si="3"/>
        <v>0</v>
      </c>
      <c r="BJ27" s="10">
        <v>89</v>
      </c>
      <c r="BK27" s="2" t="b">
        <f t="shared" si="4"/>
        <v>1</v>
      </c>
    </row>
    <row r="28" spans="1:64" x14ac:dyDescent="0.2">
      <c r="A28" s="2" t="s">
        <v>159</v>
      </c>
      <c r="B28" s="5" t="s">
        <v>160</v>
      </c>
      <c r="C28" s="2">
        <v>0</v>
      </c>
      <c r="D28" s="5" t="s">
        <v>161</v>
      </c>
      <c r="E28" s="2">
        <v>0</v>
      </c>
      <c r="F28" s="5" t="s">
        <v>162</v>
      </c>
      <c r="G28" s="2">
        <v>0</v>
      </c>
      <c r="H28" s="5" t="s">
        <v>163</v>
      </c>
      <c r="I28" s="2">
        <v>0</v>
      </c>
      <c r="J28" s="5" t="s">
        <v>164</v>
      </c>
      <c r="K28" s="2">
        <v>0</v>
      </c>
      <c r="L28" s="5" t="s">
        <v>165</v>
      </c>
      <c r="M28" s="2">
        <v>0</v>
      </c>
      <c r="N28" s="5" t="s">
        <v>166</v>
      </c>
      <c r="O28" s="2">
        <v>0</v>
      </c>
      <c r="P28" s="5" t="s">
        <v>167</v>
      </c>
      <c r="Q28" s="2">
        <v>0</v>
      </c>
      <c r="R28" s="5" t="s">
        <v>16</v>
      </c>
      <c r="S28" s="2">
        <v>0</v>
      </c>
      <c r="AB28" s="4" t="s">
        <v>22</v>
      </c>
      <c r="AC28" s="2" t="b">
        <f t="shared" si="0"/>
        <v>0</v>
      </c>
      <c r="AE28" s="2">
        <f>(+C28+E28+I28+K28+M28)</f>
        <v>0</v>
      </c>
      <c r="AF28" s="2">
        <f>(+E28+G28+I28+K28+O28+S28)</f>
        <v>0</v>
      </c>
      <c r="AG28" s="2">
        <f>(+G28+M28+O28+Q28+S28)</f>
        <v>0</v>
      </c>
      <c r="AH28" s="2">
        <f>(+E28+I28+K28+O28+S28)</f>
        <v>0</v>
      </c>
      <c r="AI28" s="2">
        <f>(+C28+E28+G28+S28)</f>
        <v>0</v>
      </c>
      <c r="AJ28" s="2">
        <f>(+C28+G28+I28+K28+M28+Q28)</f>
        <v>0</v>
      </c>
      <c r="AK28" s="2">
        <f>(+E28+G28+I28+K28+M28+O28+Q28)</f>
        <v>0</v>
      </c>
      <c r="AL28" s="2">
        <f>(+E28+G28+I28+K28+Q28)</f>
        <v>0</v>
      </c>
      <c r="AM28" s="2">
        <f>(+E28+K28+M28)</f>
        <v>0</v>
      </c>
      <c r="AN28" s="2">
        <f>(+E28+I28+K28+M28+Q28)</f>
        <v>0</v>
      </c>
      <c r="AO28" s="4" t="s">
        <v>22</v>
      </c>
      <c r="AP28" s="2">
        <v>77</v>
      </c>
      <c r="AQ28" s="2">
        <v>90</v>
      </c>
      <c r="AR28" s="2">
        <v>62</v>
      </c>
      <c r="AS28" s="2">
        <v>70</v>
      </c>
      <c r="AT28" s="2">
        <v>55</v>
      </c>
      <c r="AU28" s="2">
        <v>84</v>
      </c>
      <c r="AV28" s="2">
        <v>105</v>
      </c>
      <c r="AW28" s="2">
        <v>75</v>
      </c>
      <c r="AX28" s="2">
        <v>52</v>
      </c>
      <c r="AY28" s="2">
        <v>72</v>
      </c>
      <c r="BA28" s="2">
        <f t="shared" si="1"/>
        <v>0</v>
      </c>
      <c r="BD28" s="10">
        <v>0</v>
      </c>
      <c r="BE28" s="2" t="b">
        <f t="shared" si="5"/>
        <v>0</v>
      </c>
      <c r="BF28" s="10">
        <v>0</v>
      </c>
      <c r="BG28" s="2" t="b">
        <f t="shared" si="2"/>
        <v>1</v>
      </c>
      <c r="BH28" s="10">
        <v>122</v>
      </c>
      <c r="BI28" s="2" t="b">
        <f t="shared" si="3"/>
        <v>0</v>
      </c>
      <c r="BJ28" s="10">
        <v>122</v>
      </c>
      <c r="BK28" s="2" t="b">
        <f t="shared" si="4"/>
        <v>1</v>
      </c>
    </row>
    <row r="29" spans="1:64" x14ac:dyDescent="0.2">
      <c r="A29" s="2" t="s">
        <v>168</v>
      </c>
      <c r="B29" s="5" t="s">
        <v>27</v>
      </c>
      <c r="C29" s="2">
        <v>0</v>
      </c>
      <c r="D29" s="5" t="s">
        <v>118</v>
      </c>
      <c r="E29" s="2">
        <v>0</v>
      </c>
      <c r="F29" s="5" t="s">
        <v>58</v>
      </c>
      <c r="G29" s="2">
        <v>0</v>
      </c>
      <c r="H29" s="5" t="s">
        <v>169</v>
      </c>
      <c r="I29" s="2">
        <v>0</v>
      </c>
      <c r="J29" s="5" t="s">
        <v>11</v>
      </c>
      <c r="K29" s="2">
        <v>0</v>
      </c>
      <c r="L29" s="5" t="s">
        <v>40</v>
      </c>
      <c r="M29" s="2">
        <v>0</v>
      </c>
      <c r="AB29" s="4" t="s">
        <v>22</v>
      </c>
      <c r="AC29" s="2" t="b">
        <f t="shared" si="0"/>
        <v>0</v>
      </c>
      <c r="AE29" s="2">
        <f>(+C29+K29+M29)</f>
        <v>0</v>
      </c>
      <c r="AF29" s="2">
        <f>(+C29+E29+K29)</f>
        <v>0</v>
      </c>
      <c r="AG29" s="2">
        <f>(+C29+G29+I29+M29)</f>
        <v>0</v>
      </c>
      <c r="AH29" s="2">
        <f>(+C29+E29+G29+I29+M29)</f>
        <v>0</v>
      </c>
      <c r="AI29" s="2">
        <f>(+E29+G29+I29)</f>
        <v>0</v>
      </c>
      <c r="AJ29" s="2">
        <f>(+G29)</f>
        <v>0</v>
      </c>
      <c r="AO29" s="4" t="s">
        <v>22</v>
      </c>
      <c r="AP29" s="2">
        <v>38</v>
      </c>
      <c r="AQ29" s="2">
        <v>32</v>
      </c>
      <c r="AR29" s="2">
        <v>54</v>
      </c>
      <c r="AS29" s="2">
        <v>67</v>
      </c>
      <c r="AT29" s="2">
        <v>38</v>
      </c>
      <c r="AU29" s="2">
        <v>20</v>
      </c>
      <c r="BA29" s="2">
        <f t="shared" si="1"/>
        <v>0</v>
      </c>
      <c r="BD29" s="10">
        <v>76</v>
      </c>
      <c r="BE29" s="2" t="b">
        <f t="shared" si="5"/>
        <v>0</v>
      </c>
      <c r="BF29" s="10">
        <v>76</v>
      </c>
      <c r="BG29" s="2" t="b">
        <f t="shared" si="2"/>
        <v>1</v>
      </c>
      <c r="BH29" s="10">
        <v>76</v>
      </c>
      <c r="BI29" s="2" t="b">
        <f t="shared" si="3"/>
        <v>1</v>
      </c>
      <c r="BJ29" s="10">
        <v>76</v>
      </c>
      <c r="BK29" s="2" t="b">
        <f t="shared" si="4"/>
        <v>1</v>
      </c>
    </row>
    <row r="30" spans="1:64" x14ac:dyDescent="0.2">
      <c r="A30" s="2" t="s">
        <v>170</v>
      </c>
      <c r="B30" s="5" t="s">
        <v>34</v>
      </c>
      <c r="C30" s="2">
        <v>0</v>
      </c>
      <c r="D30" s="5" t="s">
        <v>42</v>
      </c>
      <c r="E30" s="2">
        <v>0</v>
      </c>
      <c r="F30" s="5" t="s">
        <v>160</v>
      </c>
      <c r="G30" s="2">
        <v>0</v>
      </c>
      <c r="H30" s="5" t="s">
        <v>171</v>
      </c>
      <c r="I30" s="2">
        <v>0</v>
      </c>
      <c r="AB30" s="4" t="s">
        <v>22</v>
      </c>
      <c r="AC30" s="2" t="b">
        <f t="shared" si="0"/>
        <v>0</v>
      </c>
      <c r="AE30" s="2">
        <f>(+C30+G30+I30)</f>
        <v>0</v>
      </c>
      <c r="AF30" s="2">
        <f>(+E30+I30)</f>
        <v>0</v>
      </c>
      <c r="AG30" s="2">
        <f>(+C30+E30+I30)</f>
        <v>0</v>
      </c>
      <c r="AH30" s="2">
        <f>(+C30)</f>
        <v>0</v>
      </c>
      <c r="AI30" s="2">
        <f>(+C30+E30+G30)</f>
        <v>0</v>
      </c>
      <c r="AJ30" s="2">
        <f>(+C30+G30+I30)</f>
        <v>0</v>
      </c>
      <c r="AO30" s="4" t="s">
        <v>22</v>
      </c>
      <c r="AP30" s="2">
        <v>218</v>
      </c>
      <c r="AQ30" s="2">
        <v>13</v>
      </c>
      <c r="AR30" s="2">
        <v>20</v>
      </c>
      <c r="AS30" s="2">
        <v>7</v>
      </c>
      <c r="AT30" s="2">
        <v>205</v>
      </c>
      <c r="AU30" s="2">
        <v>218</v>
      </c>
      <c r="BA30" s="2">
        <f t="shared" si="1"/>
        <v>0</v>
      </c>
      <c r="BD30" s="10">
        <v>218</v>
      </c>
      <c r="BE30" s="2" t="b">
        <f t="shared" si="5"/>
        <v>0</v>
      </c>
      <c r="BF30" s="10">
        <v>218</v>
      </c>
      <c r="BG30" s="2" t="b">
        <f t="shared" si="2"/>
        <v>1</v>
      </c>
      <c r="BH30" s="10">
        <v>218</v>
      </c>
      <c r="BI30" s="2" t="b">
        <f t="shared" si="3"/>
        <v>1</v>
      </c>
      <c r="BJ30" s="10">
        <v>218</v>
      </c>
      <c r="BK30" s="2" t="b">
        <f t="shared" si="4"/>
        <v>1</v>
      </c>
    </row>
    <row r="31" spans="1:64" x14ac:dyDescent="0.2">
      <c r="A31" s="2" t="s">
        <v>172</v>
      </c>
      <c r="B31" s="5" t="s">
        <v>133</v>
      </c>
      <c r="C31" s="2">
        <v>0</v>
      </c>
      <c r="D31" s="5" t="s">
        <v>166</v>
      </c>
      <c r="E31" s="2">
        <v>0</v>
      </c>
      <c r="F31" s="5" t="s">
        <v>169</v>
      </c>
      <c r="G31" s="2">
        <v>0</v>
      </c>
      <c r="H31" s="5" t="s">
        <v>173</v>
      </c>
      <c r="I31" s="2">
        <v>0</v>
      </c>
      <c r="J31" s="5" t="s">
        <v>125</v>
      </c>
      <c r="K31" s="2">
        <v>0</v>
      </c>
      <c r="L31" s="5" t="s">
        <v>174</v>
      </c>
      <c r="M31" s="2">
        <v>0</v>
      </c>
      <c r="N31" s="5" t="s">
        <v>175</v>
      </c>
      <c r="O31" s="2">
        <v>0</v>
      </c>
      <c r="P31" s="5" t="s">
        <v>176</v>
      </c>
      <c r="Q31" s="2">
        <v>0</v>
      </c>
      <c r="R31" s="5" t="s">
        <v>177</v>
      </c>
      <c r="S31" s="2">
        <v>0</v>
      </c>
      <c r="AB31" s="4" t="s">
        <v>22</v>
      </c>
      <c r="AC31" s="2" t="b">
        <f t="shared" si="0"/>
        <v>0</v>
      </c>
      <c r="AE31" s="2">
        <f>(+C31+K31+M31+O31+S31)</f>
        <v>0</v>
      </c>
      <c r="AF31" s="2">
        <f>(+C31+E31+K31+M31+O31+Q31+S31)</f>
        <v>0</v>
      </c>
      <c r="AG31" s="2">
        <f>(+C31+E31+G31+K31+M31+O31+Q31)</f>
        <v>0</v>
      </c>
      <c r="AH31" s="2">
        <f>(+C31+E31+G31+Q31+S31)</f>
        <v>0</v>
      </c>
      <c r="AI31" s="2">
        <f>(+C31+G31+K31+S31)</f>
        <v>0</v>
      </c>
      <c r="AJ31" s="2">
        <f>(+I31+K31+M31+O31+Q31+S31)</f>
        <v>0</v>
      </c>
      <c r="AK31" s="2">
        <f>(+C31+E31+M31+Q31+S31)</f>
        <v>0</v>
      </c>
      <c r="AL31" s="2">
        <f>(+I31+K31+M31+O31+Q31)</f>
        <v>0</v>
      </c>
      <c r="AO31" s="4" t="s">
        <v>22</v>
      </c>
      <c r="AP31" s="2">
        <v>174</v>
      </c>
      <c r="AQ31" s="2">
        <v>188</v>
      </c>
      <c r="AR31" s="2">
        <v>195</v>
      </c>
      <c r="AS31" s="2">
        <v>169</v>
      </c>
      <c r="AT31" s="2">
        <v>159</v>
      </c>
      <c r="AU31" s="2">
        <v>43</v>
      </c>
      <c r="AV31" s="2">
        <v>182</v>
      </c>
      <c r="AW31" s="2">
        <v>43</v>
      </c>
      <c r="BA31" s="2">
        <f t="shared" si="1"/>
        <v>0</v>
      </c>
      <c r="BD31" s="10">
        <v>0</v>
      </c>
      <c r="BE31" s="2" t="b">
        <f t="shared" si="5"/>
        <v>0</v>
      </c>
      <c r="BF31" s="10">
        <v>0</v>
      </c>
      <c r="BG31" s="2" t="b">
        <f t="shared" si="2"/>
        <v>1</v>
      </c>
      <c r="BH31" s="10">
        <v>0</v>
      </c>
      <c r="BI31" s="2" t="b">
        <f t="shared" si="3"/>
        <v>1</v>
      </c>
      <c r="BJ31" s="10">
        <v>198</v>
      </c>
      <c r="BK31" s="2" t="b">
        <f t="shared" si="4"/>
        <v>0</v>
      </c>
    </row>
    <row r="32" spans="1:64" x14ac:dyDescent="0.2">
      <c r="A32" s="2" t="s">
        <v>178</v>
      </c>
      <c r="B32" s="5" t="s">
        <v>11</v>
      </c>
      <c r="C32" s="2">
        <v>0</v>
      </c>
      <c r="D32" s="5" t="s">
        <v>179</v>
      </c>
      <c r="E32" s="2">
        <v>0</v>
      </c>
      <c r="F32" s="5" t="s">
        <v>52</v>
      </c>
      <c r="G32" s="2">
        <v>0</v>
      </c>
      <c r="H32" s="5" t="s">
        <v>180</v>
      </c>
      <c r="I32" s="2">
        <v>0</v>
      </c>
      <c r="J32" s="5" t="s">
        <v>181</v>
      </c>
      <c r="K32" s="2">
        <v>0</v>
      </c>
      <c r="L32" s="5" t="s">
        <v>182</v>
      </c>
      <c r="M32" s="2">
        <v>0</v>
      </c>
      <c r="N32" s="5" t="s">
        <v>183</v>
      </c>
      <c r="O32" s="2">
        <v>0</v>
      </c>
      <c r="P32" s="5" t="s">
        <v>148</v>
      </c>
      <c r="Q32" s="2">
        <v>0</v>
      </c>
      <c r="R32" s="5" t="s">
        <v>184</v>
      </c>
      <c r="S32" s="2">
        <v>0</v>
      </c>
      <c r="AB32" s="4" t="s">
        <v>22</v>
      </c>
      <c r="AC32" s="2" t="b">
        <f t="shared" si="0"/>
        <v>0</v>
      </c>
      <c r="AE32" s="2">
        <f>(+C32+E32+I32+K32+M32+O32+S32)</f>
        <v>0</v>
      </c>
      <c r="AF32" s="2">
        <f>(+C32+E32+K32+O32+S32)</f>
        <v>0</v>
      </c>
      <c r="AG32" s="2">
        <f>(+E32+K32+M32+Q32)</f>
        <v>0</v>
      </c>
      <c r="AH32" s="2">
        <f>(+E32+I32+K32+M32+Q32)</f>
        <v>0</v>
      </c>
      <c r="AI32" s="2">
        <f>(+G32+I32+M32+S32)</f>
        <v>0</v>
      </c>
      <c r="AJ32" s="2">
        <f>(+E32+I32+O32+S32)</f>
        <v>0</v>
      </c>
      <c r="AK32" s="2">
        <f>(+I32+K32+O32+Q32+S32)</f>
        <v>0</v>
      </c>
      <c r="AL32" s="2">
        <f>(+E32+I32+K32+M32+S32)</f>
        <v>0</v>
      </c>
      <c r="AO32" s="4" t="s">
        <v>22</v>
      </c>
      <c r="AP32" s="2">
        <v>198</v>
      </c>
      <c r="AQ32" s="2">
        <v>46</v>
      </c>
      <c r="AR32" s="2">
        <v>172</v>
      </c>
      <c r="AS32" s="2">
        <v>174</v>
      </c>
      <c r="AT32" s="2">
        <v>172</v>
      </c>
      <c r="AU32" s="2">
        <v>26</v>
      </c>
      <c r="AV32" s="2">
        <v>32</v>
      </c>
      <c r="AW32" s="2">
        <v>178</v>
      </c>
      <c r="BA32" s="2">
        <f t="shared" si="1"/>
        <v>0</v>
      </c>
      <c r="BD32" s="10">
        <v>0</v>
      </c>
      <c r="BE32" s="2" t="b">
        <f t="shared" si="5"/>
        <v>0</v>
      </c>
      <c r="BF32" s="10">
        <v>0</v>
      </c>
      <c r="BG32" s="2" t="b">
        <f t="shared" si="2"/>
        <v>1</v>
      </c>
      <c r="BH32" s="10">
        <v>0</v>
      </c>
      <c r="BI32" s="2" t="b">
        <f t="shared" si="3"/>
        <v>1</v>
      </c>
      <c r="BJ32" s="10">
        <v>214</v>
      </c>
      <c r="BK32" s="2" t="b">
        <f t="shared" si="4"/>
        <v>0</v>
      </c>
    </row>
    <row r="33" spans="1:64" x14ac:dyDescent="0.2">
      <c r="A33" s="2" t="s">
        <v>185</v>
      </c>
      <c r="B33" s="5" t="s">
        <v>186</v>
      </c>
      <c r="C33" s="2">
        <v>0</v>
      </c>
      <c r="D33" s="5" t="s">
        <v>187</v>
      </c>
      <c r="E33" s="2">
        <v>0</v>
      </c>
      <c r="F33" s="5" t="s">
        <v>32</v>
      </c>
      <c r="G33" s="2">
        <v>0</v>
      </c>
      <c r="H33" s="5" t="s">
        <v>188</v>
      </c>
      <c r="I33" s="2">
        <v>0</v>
      </c>
      <c r="J33" s="5" t="s">
        <v>189</v>
      </c>
      <c r="K33" s="2">
        <v>0</v>
      </c>
      <c r="L33" s="5" t="s">
        <v>10</v>
      </c>
      <c r="M33" s="2">
        <v>0</v>
      </c>
      <c r="N33" s="5" t="s">
        <v>190</v>
      </c>
      <c r="O33" s="2">
        <v>0</v>
      </c>
      <c r="P33" s="5" t="s">
        <v>191</v>
      </c>
      <c r="Q33" s="2">
        <v>0</v>
      </c>
      <c r="AB33" s="4" t="s">
        <v>22</v>
      </c>
      <c r="AC33" s="2" t="b">
        <f t="shared" si="0"/>
        <v>0</v>
      </c>
      <c r="AE33" s="2">
        <f>(+C33+G33+M33+O33+Q33)</f>
        <v>0</v>
      </c>
      <c r="AF33" s="2">
        <f>(+K33+O33)</f>
        <v>0</v>
      </c>
      <c r="AG33" s="2">
        <f>(+C33+E33+M33+Q33)</f>
        <v>0</v>
      </c>
      <c r="AH33" s="2">
        <f>(+C33+E33+I33+K33+O33+Q33)</f>
        <v>0</v>
      </c>
      <c r="AI33" s="2">
        <f>(+E33+I33+O33+Q33)</f>
        <v>0</v>
      </c>
      <c r="AJ33" s="2">
        <f>(+C33+E33+I33+Q33)</f>
        <v>0</v>
      </c>
      <c r="AK33" s="2">
        <f>(+G33+Q33)</f>
        <v>0</v>
      </c>
      <c r="AL33" s="2">
        <f>(+C33+E33+I33+K33+O33+Q33)</f>
        <v>0</v>
      </c>
      <c r="AO33" s="4" t="s">
        <v>22</v>
      </c>
      <c r="AP33" s="2">
        <v>166</v>
      </c>
      <c r="AQ33" s="2">
        <v>31</v>
      </c>
      <c r="AR33" s="2">
        <v>153</v>
      </c>
      <c r="AS33" s="2">
        <v>68</v>
      </c>
      <c r="AT33" s="2">
        <v>52</v>
      </c>
      <c r="AU33" s="2">
        <v>37</v>
      </c>
      <c r="AV33" s="2">
        <v>12</v>
      </c>
      <c r="AW33" s="2">
        <v>68</v>
      </c>
      <c r="BA33" s="2">
        <f t="shared" si="1"/>
        <v>0</v>
      </c>
      <c r="BD33" s="10">
        <v>185</v>
      </c>
      <c r="BE33" s="2" t="b">
        <f t="shared" si="5"/>
        <v>0</v>
      </c>
      <c r="BF33" s="10">
        <v>185</v>
      </c>
      <c r="BG33" s="2" t="b">
        <f t="shared" si="2"/>
        <v>1</v>
      </c>
      <c r="BH33" s="10">
        <v>185</v>
      </c>
      <c r="BI33" s="2" t="b">
        <f t="shared" si="3"/>
        <v>1</v>
      </c>
      <c r="BJ33" s="10">
        <v>185</v>
      </c>
      <c r="BK33" s="2" t="b">
        <f t="shared" si="4"/>
        <v>1</v>
      </c>
    </row>
    <row r="34" spans="1:64" x14ac:dyDescent="0.2">
      <c r="A34" s="2" t="s">
        <v>192</v>
      </c>
      <c r="B34" s="5" t="s">
        <v>43</v>
      </c>
      <c r="C34" s="2">
        <v>0</v>
      </c>
      <c r="D34" s="5" t="s">
        <v>134</v>
      </c>
      <c r="E34" s="2">
        <v>0</v>
      </c>
      <c r="F34" s="5" t="s">
        <v>193</v>
      </c>
      <c r="G34" s="2">
        <v>0</v>
      </c>
      <c r="H34" s="5" t="s">
        <v>194</v>
      </c>
      <c r="I34" s="2">
        <v>0</v>
      </c>
      <c r="J34" s="5" t="s">
        <v>195</v>
      </c>
      <c r="K34" s="2">
        <v>0</v>
      </c>
      <c r="L34" s="5" t="s">
        <v>140</v>
      </c>
      <c r="M34" s="2">
        <v>0</v>
      </c>
      <c r="N34" s="5" t="s">
        <v>196</v>
      </c>
      <c r="O34" s="2">
        <v>0</v>
      </c>
      <c r="P34" s="5" t="s">
        <v>197</v>
      </c>
      <c r="Q34" s="2">
        <v>0</v>
      </c>
      <c r="AB34" s="4" t="s">
        <v>22</v>
      </c>
      <c r="AC34" s="2" t="b">
        <f t="shared" si="0"/>
        <v>0</v>
      </c>
      <c r="AE34" s="2">
        <f>(+G34+I34+M34+O34+Q34)</f>
        <v>0</v>
      </c>
      <c r="AF34" s="2">
        <f>(+G34+I34+K34)</f>
        <v>0</v>
      </c>
      <c r="AG34" s="2">
        <f>(+C34+E34+I34+Q34)</f>
        <v>0</v>
      </c>
      <c r="AH34" s="2">
        <f>(+G34+K34+M34+O34+Q34)</f>
        <v>0</v>
      </c>
      <c r="AI34" s="2">
        <f>(+C34+G34+K34)</f>
        <v>0</v>
      </c>
      <c r="AJ34" s="2">
        <f>(+C34+E34+G34)</f>
        <v>0</v>
      </c>
      <c r="AK34" s="2">
        <f>(+E34+I34+K34+M34+O34)</f>
        <v>0</v>
      </c>
      <c r="AL34" s="2">
        <f>(+I34+M34+Q34)</f>
        <v>0</v>
      </c>
      <c r="AO34" s="4" t="s">
        <v>22</v>
      </c>
      <c r="AP34" s="2">
        <v>145</v>
      </c>
      <c r="AQ34" s="2">
        <v>32</v>
      </c>
      <c r="AR34" s="2">
        <v>140</v>
      </c>
      <c r="AS34" s="2">
        <v>149</v>
      </c>
      <c r="AT34" s="2">
        <v>33</v>
      </c>
      <c r="AU34" s="2">
        <v>26</v>
      </c>
      <c r="AV34" s="2">
        <v>67</v>
      </c>
      <c r="AW34" s="2">
        <v>136</v>
      </c>
      <c r="BA34" s="2">
        <f t="shared" si="1"/>
        <v>0</v>
      </c>
      <c r="BD34" s="10">
        <v>0</v>
      </c>
      <c r="BE34" s="2" t="b">
        <f t="shared" si="5"/>
        <v>0</v>
      </c>
      <c r="BF34" s="10">
        <v>0</v>
      </c>
      <c r="BG34" s="2" t="b">
        <f t="shared" si="2"/>
        <v>1</v>
      </c>
      <c r="BH34" s="10">
        <v>186</v>
      </c>
      <c r="BI34" s="2" t="b">
        <f t="shared" si="3"/>
        <v>0</v>
      </c>
      <c r="BJ34" s="10">
        <v>186</v>
      </c>
      <c r="BK34" s="2" t="b">
        <f t="shared" si="4"/>
        <v>1</v>
      </c>
    </row>
    <row r="35" spans="1:64" s="6" customFormat="1" x14ac:dyDescent="0.2">
      <c r="A35" s="6" t="s">
        <v>198</v>
      </c>
      <c r="B35" s="7" t="s">
        <v>10</v>
      </c>
      <c r="C35" s="6">
        <v>9</v>
      </c>
      <c r="D35" s="7" t="s">
        <v>39</v>
      </c>
      <c r="E35" s="6">
        <v>14</v>
      </c>
      <c r="F35" s="7" t="s">
        <v>47</v>
      </c>
      <c r="G35" s="6">
        <v>6</v>
      </c>
      <c r="H35" s="7"/>
      <c r="J35" s="7"/>
      <c r="L35" s="7"/>
      <c r="N35" s="7"/>
      <c r="P35" s="7"/>
      <c r="R35" s="7"/>
      <c r="T35" s="7"/>
      <c r="V35" s="7"/>
      <c r="X35" s="7"/>
      <c r="Z35" s="7"/>
      <c r="AB35" s="6" t="s">
        <v>22</v>
      </c>
      <c r="AC35" s="6" t="b">
        <f t="shared" si="0"/>
        <v>1</v>
      </c>
      <c r="AE35" s="6">
        <f>(+C35+E35+G35)</f>
        <v>29</v>
      </c>
      <c r="AF35" s="6">
        <f>(+E35)</f>
        <v>14</v>
      </c>
      <c r="AG35" s="6">
        <f>(+C35)</f>
        <v>9</v>
      </c>
      <c r="AH35" s="6">
        <f>(+E35+G35)</f>
        <v>20</v>
      </c>
      <c r="AO35" s="6" t="s">
        <v>22</v>
      </c>
      <c r="AP35" s="6">
        <v>29</v>
      </c>
      <c r="AQ35" s="6">
        <v>14</v>
      </c>
      <c r="AR35" s="6">
        <v>9</v>
      </c>
      <c r="AS35" s="6">
        <v>20</v>
      </c>
      <c r="BA35" s="6">
        <f t="shared" si="1"/>
        <v>29</v>
      </c>
      <c r="BB35" s="2"/>
      <c r="BC35" s="2"/>
      <c r="BD35" s="10">
        <v>29</v>
      </c>
      <c r="BE35" s="2" t="b">
        <f t="shared" si="5"/>
        <v>1</v>
      </c>
      <c r="BF35" s="10">
        <v>29</v>
      </c>
      <c r="BG35" s="2" t="b">
        <f t="shared" si="2"/>
        <v>1</v>
      </c>
      <c r="BH35" s="10">
        <v>29</v>
      </c>
      <c r="BI35" s="2" t="b">
        <f t="shared" si="3"/>
        <v>1</v>
      </c>
      <c r="BJ35" s="10">
        <v>29</v>
      </c>
      <c r="BK35" s="2" t="b">
        <f t="shared" si="4"/>
        <v>1</v>
      </c>
      <c r="BL35" s="2"/>
    </row>
    <row r="36" spans="1:64" s="6" customFormat="1" x14ac:dyDescent="0.2">
      <c r="A36" s="6" t="s">
        <v>199</v>
      </c>
      <c r="B36" s="7" t="s">
        <v>9</v>
      </c>
      <c r="C36" s="6">
        <v>141</v>
      </c>
      <c r="D36" s="7" t="s">
        <v>21</v>
      </c>
      <c r="E36" s="6">
        <v>12</v>
      </c>
      <c r="F36" s="7" t="s">
        <v>39</v>
      </c>
      <c r="G36" s="6">
        <v>7</v>
      </c>
      <c r="H36" s="7"/>
      <c r="J36" s="7"/>
      <c r="L36" s="7"/>
      <c r="N36" s="7"/>
      <c r="P36" s="7"/>
      <c r="R36" s="7"/>
      <c r="T36" s="7"/>
      <c r="V36" s="7"/>
      <c r="X36" s="7"/>
      <c r="Z36" s="7"/>
      <c r="AB36" s="6" t="s">
        <v>22</v>
      </c>
      <c r="AC36" s="6" t="b">
        <f t="shared" si="0"/>
        <v>1</v>
      </c>
      <c r="AE36" s="6">
        <f>(+G36)</f>
        <v>7</v>
      </c>
      <c r="AF36" s="6">
        <f>(+E36+G36)</f>
        <v>19</v>
      </c>
      <c r="AG36" s="6">
        <f>(+C36+E36)</f>
        <v>153</v>
      </c>
      <c r="AH36" s="6">
        <f>(+C36+G36)</f>
        <v>148</v>
      </c>
      <c r="AO36" s="6" t="s">
        <v>22</v>
      </c>
      <c r="AP36" s="6">
        <v>7</v>
      </c>
      <c r="AQ36" s="6">
        <v>19</v>
      </c>
      <c r="AR36" s="6">
        <v>153</v>
      </c>
      <c r="AS36" s="6">
        <v>148</v>
      </c>
      <c r="BA36" s="6">
        <f t="shared" si="1"/>
        <v>160</v>
      </c>
      <c r="BB36" s="2"/>
      <c r="BC36" s="2"/>
      <c r="BD36" s="10">
        <v>160</v>
      </c>
      <c r="BE36" s="2" t="b">
        <f t="shared" si="5"/>
        <v>1</v>
      </c>
      <c r="BF36" s="10">
        <v>160</v>
      </c>
      <c r="BG36" s="2" t="b">
        <f t="shared" si="2"/>
        <v>1</v>
      </c>
      <c r="BH36" s="10">
        <v>160</v>
      </c>
      <c r="BI36" s="2" t="b">
        <f t="shared" si="3"/>
        <v>1</v>
      </c>
      <c r="BJ36" s="10">
        <v>160</v>
      </c>
      <c r="BK36" s="2" t="b">
        <f t="shared" si="4"/>
        <v>1</v>
      </c>
      <c r="BL36" s="2"/>
    </row>
    <row r="37" spans="1:64" x14ac:dyDescent="0.2">
      <c r="A37" s="2" t="s">
        <v>200</v>
      </c>
      <c r="B37" s="5" t="s">
        <v>116</v>
      </c>
      <c r="C37" s="2">
        <v>0</v>
      </c>
      <c r="D37" s="5" t="s">
        <v>128</v>
      </c>
      <c r="E37" s="2">
        <v>0</v>
      </c>
      <c r="F37" s="5" t="s">
        <v>193</v>
      </c>
      <c r="G37" s="2">
        <v>0</v>
      </c>
      <c r="H37" s="5" t="s">
        <v>106</v>
      </c>
      <c r="I37" s="2">
        <v>0</v>
      </c>
      <c r="AB37" s="4" t="s">
        <v>22</v>
      </c>
      <c r="AC37" s="2" t="b">
        <f t="shared" si="0"/>
        <v>0</v>
      </c>
      <c r="AE37" s="2">
        <f>(+E37+G37+I37)</f>
        <v>0</v>
      </c>
      <c r="AF37" s="2">
        <f>(+C37+E37+G37)</f>
        <v>0</v>
      </c>
      <c r="AG37" s="2">
        <f>(+C37+I37)</f>
        <v>0</v>
      </c>
      <c r="AH37" s="2">
        <f>(+C37+G37)</f>
        <v>0</v>
      </c>
      <c r="AI37" s="2">
        <f>(+C37+E37+G37+I37)</f>
        <v>0</v>
      </c>
      <c r="AJ37" s="2">
        <f>(+C37+G37)</f>
        <v>0</v>
      </c>
      <c r="AO37" s="4" t="s">
        <v>22</v>
      </c>
      <c r="AP37" s="2">
        <v>19</v>
      </c>
      <c r="AQ37" s="2">
        <v>19</v>
      </c>
      <c r="AR37" s="2">
        <v>16</v>
      </c>
      <c r="AS37" s="2">
        <v>10</v>
      </c>
      <c r="AT37" s="2">
        <v>27</v>
      </c>
      <c r="AU37" s="2">
        <v>10</v>
      </c>
      <c r="BA37" s="2">
        <f t="shared" si="1"/>
        <v>0</v>
      </c>
      <c r="BD37" s="10">
        <v>27</v>
      </c>
      <c r="BE37" s="2" t="b">
        <f t="shared" si="5"/>
        <v>0</v>
      </c>
      <c r="BF37" s="10">
        <v>27</v>
      </c>
      <c r="BG37" s="2" t="b">
        <f t="shared" si="2"/>
        <v>1</v>
      </c>
      <c r="BH37" s="10">
        <v>27</v>
      </c>
      <c r="BI37" s="2" t="b">
        <f t="shared" si="3"/>
        <v>1</v>
      </c>
      <c r="BJ37" s="10">
        <v>27</v>
      </c>
      <c r="BK37" s="2" t="b">
        <f t="shared" si="4"/>
        <v>1</v>
      </c>
    </row>
    <row r="38" spans="1:64" x14ac:dyDescent="0.2">
      <c r="A38" s="2" t="s">
        <v>201</v>
      </c>
      <c r="B38" s="5" t="s">
        <v>40</v>
      </c>
      <c r="C38" s="2">
        <v>0</v>
      </c>
      <c r="D38" s="5" t="s">
        <v>25</v>
      </c>
      <c r="E38" s="2">
        <v>0</v>
      </c>
      <c r="F38" s="5" t="s">
        <v>202</v>
      </c>
      <c r="G38" s="2">
        <v>0</v>
      </c>
      <c r="H38" s="5" t="s">
        <v>14</v>
      </c>
      <c r="I38" s="2">
        <v>0</v>
      </c>
      <c r="J38" s="5" t="s">
        <v>169</v>
      </c>
      <c r="K38" s="2">
        <v>0</v>
      </c>
      <c r="L38" s="5" t="s">
        <v>10</v>
      </c>
      <c r="M38" s="2">
        <v>0</v>
      </c>
      <c r="AB38" s="4" t="s">
        <v>22</v>
      </c>
      <c r="AC38" s="2" t="b">
        <f t="shared" si="0"/>
        <v>0</v>
      </c>
      <c r="AE38" s="2">
        <f>(+C38+I38+M38)</f>
        <v>0</v>
      </c>
      <c r="AF38" s="2">
        <f>(+G38)</f>
        <v>0</v>
      </c>
      <c r="AG38" s="2">
        <f>(+C38+K38+M38)</f>
        <v>0</v>
      </c>
      <c r="AH38" s="2">
        <f>(+C38+E38+K38)</f>
        <v>0</v>
      </c>
      <c r="AI38" s="2">
        <f>(+E38+G38+I38+K38)</f>
        <v>0</v>
      </c>
      <c r="AO38" s="4" t="s">
        <v>22</v>
      </c>
      <c r="AP38" s="2">
        <v>165</v>
      </c>
      <c r="AQ38" s="2">
        <v>18</v>
      </c>
      <c r="AR38" s="2">
        <v>157</v>
      </c>
      <c r="AS38" s="2">
        <v>163</v>
      </c>
      <c r="AT38" s="2">
        <v>41</v>
      </c>
      <c r="BA38" s="2">
        <f t="shared" si="1"/>
        <v>0</v>
      </c>
      <c r="BD38" s="10">
        <v>0</v>
      </c>
      <c r="BE38" s="2" t="b">
        <f t="shared" si="5"/>
        <v>0</v>
      </c>
      <c r="BF38" s="10">
        <v>0</v>
      </c>
      <c r="BG38" s="2" t="b">
        <f t="shared" si="2"/>
        <v>1</v>
      </c>
      <c r="BH38" s="10">
        <v>0</v>
      </c>
      <c r="BI38" s="2" t="b">
        <f t="shared" si="3"/>
        <v>1</v>
      </c>
      <c r="BJ38" s="10">
        <v>194</v>
      </c>
      <c r="BK38" s="2" t="b">
        <f t="shared" si="4"/>
        <v>0</v>
      </c>
    </row>
    <row r="39" spans="1:64" x14ac:dyDescent="0.2">
      <c r="A39" s="2" t="s">
        <v>203</v>
      </c>
      <c r="B39" s="5" t="s">
        <v>38</v>
      </c>
      <c r="C39" s="2">
        <v>0</v>
      </c>
      <c r="D39" s="5" t="s">
        <v>34</v>
      </c>
      <c r="E39" s="2">
        <v>0</v>
      </c>
      <c r="F39" s="5" t="s">
        <v>130</v>
      </c>
      <c r="G39" s="2">
        <v>0</v>
      </c>
      <c r="H39" s="5" t="s">
        <v>13</v>
      </c>
      <c r="I39" s="2">
        <v>0</v>
      </c>
      <c r="J39" s="5" t="s">
        <v>109</v>
      </c>
      <c r="K39" s="2">
        <v>0</v>
      </c>
      <c r="L39" s="5" t="s">
        <v>204</v>
      </c>
      <c r="M39" s="2">
        <v>0</v>
      </c>
      <c r="N39" s="5" t="s">
        <v>45</v>
      </c>
      <c r="O39" s="2">
        <v>0</v>
      </c>
      <c r="P39" s="5" t="s">
        <v>48</v>
      </c>
      <c r="Q39" s="2">
        <v>0</v>
      </c>
      <c r="AB39" s="4" t="s">
        <v>22</v>
      </c>
      <c r="AC39" s="2" t="b">
        <f t="shared" si="0"/>
        <v>0</v>
      </c>
      <c r="AE39" s="2">
        <f>(+E39+I39+K39+M39+O39)</f>
        <v>0</v>
      </c>
      <c r="AF39" s="2">
        <f>(+C39+G39+K39+M39)</f>
        <v>0</v>
      </c>
      <c r="AG39" s="2">
        <f>(+E39+G39+I39)</f>
        <v>0</v>
      </c>
      <c r="AH39" s="2">
        <f>(+E39+G39+I39+M39+Q39)</f>
        <v>0</v>
      </c>
      <c r="AI39" s="2">
        <f>(+E39+I39+K39+M39)</f>
        <v>0</v>
      </c>
      <c r="AJ39" s="2">
        <f>(+E39+G39+K39+O39+Q39)</f>
        <v>0</v>
      </c>
      <c r="AO39" s="4" t="s">
        <v>22</v>
      </c>
      <c r="AP39" s="2">
        <v>33</v>
      </c>
      <c r="AQ39" s="2">
        <v>34</v>
      </c>
      <c r="AR39" s="2">
        <v>35</v>
      </c>
      <c r="AS39" s="2">
        <v>41</v>
      </c>
      <c r="AT39" s="2">
        <v>25</v>
      </c>
      <c r="AU39" s="2">
        <v>30</v>
      </c>
      <c r="BA39" s="2">
        <f t="shared" si="1"/>
        <v>0</v>
      </c>
      <c r="BD39" s="10">
        <v>0</v>
      </c>
      <c r="BE39" s="2" t="b">
        <f t="shared" si="5"/>
        <v>0</v>
      </c>
      <c r="BF39" s="10">
        <v>0</v>
      </c>
      <c r="BG39" s="2" t="b">
        <f t="shared" si="2"/>
        <v>1</v>
      </c>
      <c r="BH39" s="10">
        <v>0</v>
      </c>
      <c r="BI39" s="2" t="b">
        <f t="shared" si="3"/>
        <v>1</v>
      </c>
      <c r="BJ39" s="10">
        <v>58</v>
      </c>
      <c r="BK39" s="2" t="b">
        <f t="shared" si="4"/>
        <v>0</v>
      </c>
    </row>
    <row r="40" spans="1:64" x14ac:dyDescent="0.2">
      <c r="A40" s="2" t="s">
        <v>205</v>
      </c>
      <c r="B40" s="5" t="s">
        <v>206</v>
      </c>
      <c r="C40" s="2">
        <v>0</v>
      </c>
      <c r="D40" s="5" t="s">
        <v>207</v>
      </c>
      <c r="E40" s="2">
        <v>0</v>
      </c>
      <c r="F40" s="5" t="s">
        <v>208</v>
      </c>
      <c r="G40" s="2">
        <v>0</v>
      </c>
      <c r="H40" s="5" t="s">
        <v>57</v>
      </c>
      <c r="I40" s="2">
        <v>0</v>
      </c>
      <c r="J40" s="5" t="s">
        <v>209</v>
      </c>
      <c r="K40" s="2">
        <v>0</v>
      </c>
      <c r="L40" s="5" t="s">
        <v>210</v>
      </c>
      <c r="M40" s="2">
        <v>0</v>
      </c>
      <c r="N40" s="5" t="s">
        <v>141</v>
      </c>
      <c r="O40" s="2">
        <v>0</v>
      </c>
      <c r="P40" s="5" t="s">
        <v>211</v>
      </c>
      <c r="Q40" s="2">
        <v>0</v>
      </c>
      <c r="R40" s="5" t="s">
        <v>212</v>
      </c>
      <c r="S40" s="2">
        <v>0</v>
      </c>
      <c r="T40" s="5" t="s">
        <v>56</v>
      </c>
      <c r="U40" s="2">
        <v>0</v>
      </c>
      <c r="AB40" s="4" t="s">
        <v>22</v>
      </c>
      <c r="AC40" s="2" t="b">
        <f t="shared" si="0"/>
        <v>0</v>
      </c>
      <c r="AE40" s="2">
        <f>(+K40+M40+O40+Q40+S40)</f>
        <v>0</v>
      </c>
      <c r="AF40" s="2">
        <f>(+C40+E40+G40+I40+K40+M40+O40+Q40+S40)</f>
        <v>0</v>
      </c>
      <c r="AG40" s="2">
        <f>(+I40+K40+M40+Q40+U40)</f>
        <v>0</v>
      </c>
      <c r="AH40" s="2">
        <f>(+K40+M40+O40)</f>
        <v>0</v>
      </c>
      <c r="AI40" s="2">
        <f>(+G40+K40+O40+Q40)</f>
        <v>0</v>
      </c>
      <c r="AJ40" s="2">
        <f>(+O40+Q40+S40+U40)</f>
        <v>0</v>
      </c>
      <c r="AK40" s="2">
        <f>(+E40+G40+I40+K40+Q40+S40)</f>
        <v>0</v>
      </c>
      <c r="AL40" s="2">
        <f>(+C40+G40+M40+S40)</f>
        <v>0</v>
      </c>
      <c r="AM40" s="2">
        <f>(+C40+G40+K40+O40+Q40+S40)</f>
        <v>0</v>
      </c>
      <c r="AO40" s="4" t="s">
        <v>22</v>
      </c>
      <c r="AP40" s="2">
        <v>221</v>
      </c>
      <c r="AQ40" s="2">
        <v>261</v>
      </c>
      <c r="AR40" s="2">
        <v>199</v>
      </c>
      <c r="AS40" s="2">
        <v>37</v>
      </c>
      <c r="AT40" s="2">
        <v>213</v>
      </c>
      <c r="AU40" s="2">
        <v>199</v>
      </c>
      <c r="AV40" s="2">
        <v>234</v>
      </c>
      <c r="AW40" s="2">
        <v>44</v>
      </c>
      <c r="AX40" s="2">
        <v>238</v>
      </c>
      <c r="BA40" s="2">
        <f t="shared" si="1"/>
        <v>0</v>
      </c>
      <c r="BD40" s="10">
        <v>0</v>
      </c>
      <c r="BE40" s="2" t="b">
        <f t="shared" si="5"/>
        <v>0</v>
      </c>
      <c r="BF40" s="10">
        <v>0</v>
      </c>
      <c r="BG40" s="2" t="b">
        <f t="shared" si="2"/>
        <v>1</v>
      </c>
      <c r="BH40" s="10">
        <v>265</v>
      </c>
      <c r="BI40" s="2" t="b">
        <f t="shared" si="3"/>
        <v>0</v>
      </c>
      <c r="BJ40" s="10">
        <v>262</v>
      </c>
      <c r="BK40" s="2" t="b">
        <f t="shared" si="4"/>
        <v>0</v>
      </c>
    </row>
    <row r="41" spans="1:64" x14ac:dyDescent="0.2">
      <c r="A41" s="2" t="s">
        <v>213</v>
      </c>
      <c r="B41" s="5" t="s">
        <v>10</v>
      </c>
      <c r="C41" s="2">
        <v>0</v>
      </c>
      <c r="D41" s="5" t="s">
        <v>118</v>
      </c>
      <c r="E41" s="2">
        <v>0</v>
      </c>
      <c r="F41" s="5" t="s">
        <v>6</v>
      </c>
      <c r="G41" s="2">
        <v>0</v>
      </c>
      <c r="H41" s="5" t="s">
        <v>169</v>
      </c>
      <c r="I41" s="2">
        <v>0</v>
      </c>
      <c r="J41" s="5" t="s">
        <v>14</v>
      </c>
      <c r="K41" s="2">
        <v>0</v>
      </c>
      <c r="L41" s="5" t="s">
        <v>21</v>
      </c>
      <c r="M41" s="2">
        <v>0</v>
      </c>
      <c r="AB41" s="4" t="s">
        <v>22</v>
      </c>
      <c r="AC41" s="2" t="b">
        <f t="shared" si="0"/>
        <v>0</v>
      </c>
      <c r="AE41" s="2">
        <f>(+C41+K41)</f>
        <v>0</v>
      </c>
      <c r="AF41" s="2">
        <f>(+E41+M41)</f>
        <v>0</v>
      </c>
      <c r="AG41" s="2">
        <f>(+C41+I41+M41)</f>
        <v>0</v>
      </c>
      <c r="AH41" s="2">
        <f>(+E41+G41+I41)</f>
        <v>0</v>
      </c>
      <c r="AI41" s="2">
        <f>(+E41+I41+K41)</f>
        <v>0</v>
      </c>
      <c r="AO41" s="4" t="s">
        <v>22</v>
      </c>
      <c r="AP41" s="2">
        <v>15</v>
      </c>
      <c r="AQ41" s="2">
        <v>37</v>
      </c>
      <c r="AR41" s="2">
        <v>34</v>
      </c>
      <c r="AS41" s="2">
        <v>37</v>
      </c>
      <c r="AT41" s="2">
        <v>44</v>
      </c>
      <c r="BA41" s="2">
        <f t="shared" si="1"/>
        <v>0</v>
      </c>
      <c r="BD41" s="10">
        <v>71</v>
      </c>
      <c r="BE41" s="2" t="b">
        <f t="shared" si="5"/>
        <v>0</v>
      </c>
      <c r="BF41" s="10">
        <v>65</v>
      </c>
      <c r="BG41" s="2" t="b">
        <f t="shared" si="2"/>
        <v>0</v>
      </c>
      <c r="BH41" s="10">
        <v>65</v>
      </c>
      <c r="BI41" s="2" t="b">
        <f t="shared" si="3"/>
        <v>1</v>
      </c>
      <c r="BJ41" s="10">
        <v>65</v>
      </c>
      <c r="BK41" s="2" t="b">
        <f t="shared" si="4"/>
        <v>1</v>
      </c>
    </row>
    <row r="42" spans="1:64" x14ac:dyDescent="0.2">
      <c r="A42" s="2" t="s">
        <v>214</v>
      </c>
      <c r="B42" s="5" t="s">
        <v>215</v>
      </c>
      <c r="C42" s="2">
        <v>0</v>
      </c>
      <c r="D42" s="5" t="s">
        <v>216</v>
      </c>
      <c r="E42" s="2">
        <v>0</v>
      </c>
      <c r="F42" s="5" t="s">
        <v>217</v>
      </c>
      <c r="G42" s="2">
        <v>0</v>
      </c>
      <c r="H42" s="5" t="s">
        <v>218</v>
      </c>
      <c r="I42" s="2">
        <v>0</v>
      </c>
      <c r="J42" s="5" t="s">
        <v>38</v>
      </c>
      <c r="K42" s="2">
        <v>0</v>
      </c>
      <c r="L42" s="5" t="s">
        <v>14</v>
      </c>
      <c r="M42" s="2">
        <v>0</v>
      </c>
      <c r="N42" s="5" t="s">
        <v>219</v>
      </c>
      <c r="O42" s="2">
        <v>0</v>
      </c>
      <c r="P42" s="5" t="s">
        <v>220</v>
      </c>
      <c r="Q42" s="2">
        <v>0</v>
      </c>
      <c r="R42" s="5" t="s">
        <v>61</v>
      </c>
      <c r="S42" s="2">
        <v>0</v>
      </c>
      <c r="T42" s="5" t="s">
        <v>39</v>
      </c>
      <c r="U42" s="2">
        <v>0</v>
      </c>
      <c r="V42" s="5" t="s">
        <v>221</v>
      </c>
      <c r="W42" s="2">
        <v>0</v>
      </c>
      <c r="X42" s="5" t="s">
        <v>222</v>
      </c>
      <c r="Y42" s="2">
        <v>0</v>
      </c>
      <c r="Z42" s="5" t="s">
        <v>223</v>
      </c>
      <c r="AA42" s="2">
        <v>0</v>
      </c>
      <c r="AB42" s="4" t="s">
        <v>22</v>
      </c>
      <c r="AC42" s="2" t="b">
        <f t="shared" si="0"/>
        <v>0</v>
      </c>
      <c r="AE42" s="2">
        <f>(+C42+E42+G42+M42+O42+Q42+U42+Y42+AA42)</f>
        <v>0</v>
      </c>
      <c r="AF42" s="2">
        <f>(+C42+G42+K42+O42+Q42+S42+U42+W42+Y42)</f>
        <v>0</v>
      </c>
      <c r="AG42" s="2">
        <f>(+C42+E42+G42+Q42+S42+Y42)</f>
        <v>0</v>
      </c>
      <c r="AH42" s="2">
        <f>(+C42+I42+O42+Q42+S42+U42+W42+Y42+AA42)</f>
        <v>0</v>
      </c>
      <c r="AI42" s="2">
        <f>(+E42+G42+M42+O42+Q42+W42+Y42)</f>
        <v>0</v>
      </c>
      <c r="AJ42" s="2">
        <f>(+O42+Q42+S42+W42+Y42+AA42)</f>
        <v>0</v>
      </c>
      <c r="AK42" s="2">
        <f>(+E42+G42+I42+S42)</f>
        <v>0</v>
      </c>
      <c r="AL42" s="2">
        <f>(+C42+G42+Q42+S42)</f>
        <v>0</v>
      </c>
      <c r="AM42" s="2">
        <f>(+E42+G42+S42+W42+Y42+AA42)</f>
        <v>0</v>
      </c>
      <c r="AN42" s="2">
        <f>(+C42+G42+I42+O42+Q42+S42+W42)</f>
        <v>0</v>
      </c>
      <c r="AO42" s="4" t="s">
        <v>22</v>
      </c>
      <c r="AP42" s="2">
        <v>90</v>
      </c>
      <c r="AQ42" s="2">
        <v>97</v>
      </c>
      <c r="AR42" s="2">
        <v>70</v>
      </c>
      <c r="AS42" s="2">
        <v>110</v>
      </c>
      <c r="AT42" s="2">
        <v>74</v>
      </c>
      <c r="AU42" s="2">
        <v>76</v>
      </c>
      <c r="AV42" s="2">
        <v>59</v>
      </c>
      <c r="AW42" s="2">
        <v>48</v>
      </c>
      <c r="AX42" s="2">
        <v>67</v>
      </c>
      <c r="AY42" s="2">
        <v>89</v>
      </c>
      <c r="BA42" s="2">
        <f t="shared" si="1"/>
        <v>0</v>
      </c>
      <c r="BD42" s="10">
        <v>0</v>
      </c>
      <c r="BE42" s="2" t="b">
        <f t="shared" si="5"/>
        <v>0</v>
      </c>
      <c r="BF42" s="10">
        <v>0</v>
      </c>
      <c r="BG42" s="2" t="b">
        <f t="shared" si="2"/>
        <v>1</v>
      </c>
      <c r="BH42" s="10">
        <v>0</v>
      </c>
      <c r="BI42" s="2" t="b">
        <f t="shared" si="3"/>
        <v>1</v>
      </c>
      <c r="BJ42" s="10">
        <v>132</v>
      </c>
      <c r="BK42" s="2" t="b">
        <f t="shared" si="4"/>
        <v>0</v>
      </c>
      <c r="BL42" s="2">
        <v>132</v>
      </c>
    </row>
    <row r="43" spans="1:64" s="6" customFormat="1" x14ac:dyDescent="0.2">
      <c r="A43" s="6" t="s">
        <v>224</v>
      </c>
      <c r="B43" s="7" t="s">
        <v>10</v>
      </c>
      <c r="C43" s="6">
        <v>0</v>
      </c>
      <c r="D43" s="7" t="s">
        <v>27</v>
      </c>
      <c r="E43" s="6">
        <v>10</v>
      </c>
      <c r="F43" s="7" t="s">
        <v>118</v>
      </c>
      <c r="G43" s="6">
        <v>18</v>
      </c>
      <c r="H43" s="7"/>
      <c r="J43" s="7"/>
      <c r="L43" s="7"/>
      <c r="N43" s="7"/>
      <c r="P43" s="7"/>
      <c r="R43" s="7"/>
      <c r="T43" s="7"/>
      <c r="V43" s="7"/>
      <c r="X43" s="7"/>
      <c r="Z43" s="7"/>
      <c r="AB43" s="6" t="s">
        <v>22</v>
      </c>
      <c r="AC43" s="6" t="b">
        <f t="shared" si="0"/>
        <v>1</v>
      </c>
      <c r="AE43" s="6">
        <f>(+C43+E43)</f>
        <v>10</v>
      </c>
      <c r="AF43" s="6">
        <f>(+E43+G43)</f>
        <v>28</v>
      </c>
      <c r="AG43" s="6">
        <f>(+C43+E43)</f>
        <v>10</v>
      </c>
      <c r="AH43" s="6">
        <f>(+E43+G43)</f>
        <v>28</v>
      </c>
      <c r="AI43" s="6">
        <f>(+G43)</f>
        <v>18</v>
      </c>
      <c r="AO43" s="6" t="s">
        <v>22</v>
      </c>
      <c r="AP43" s="6">
        <v>10</v>
      </c>
      <c r="AQ43" s="6">
        <v>28</v>
      </c>
      <c r="AR43" s="6">
        <v>10</v>
      </c>
      <c r="AS43" s="6">
        <v>28</v>
      </c>
      <c r="AT43" s="6">
        <v>18</v>
      </c>
      <c r="BA43" s="6">
        <f t="shared" si="1"/>
        <v>28</v>
      </c>
      <c r="BB43" s="2"/>
      <c r="BC43" s="2"/>
      <c r="BD43" s="10">
        <v>28</v>
      </c>
      <c r="BE43" s="2" t="b">
        <f t="shared" si="5"/>
        <v>1</v>
      </c>
      <c r="BF43" s="10">
        <v>28</v>
      </c>
      <c r="BG43" s="2" t="b">
        <f t="shared" si="2"/>
        <v>1</v>
      </c>
      <c r="BH43" s="10">
        <v>28</v>
      </c>
      <c r="BI43" s="2" t="b">
        <f t="shared" si="3"/>
        <v>1</v>
      </c>
      <c r="BJ43" s="10">
        <v>28</v>
      </c>
      <c r="BK43" s="2" t="b">
        <f t="shared" si="4"/>
        <v>1</v>
      </c>
      <c r="BL43" s="2"/>
    </row>
    <row r="44" spans="1:64" x14ac:dyDescent="0.2">
      <c r="A44" s="2" t="s">
        <v>225</v>
      </c>
      <c r="B44" s="5" t="s">
        <v>226</v>
      </c>
      <c r="C44" s="2">
        <v>0</v>
      </c>
      <c r="D44" s="5" t="s">
        <v>227</v>
      </c>
      <c r="E44" s="2">
        <v>0</v>
      </c>
      <c r="F44" s="5" t="s">
        <v>228</v>
      </c>
      <c r="G44" s="2">
        <v>0</v>
      </c>
      <c r="H44" s="5" t="s">
        <v>229</v>
      </c>
      <c r="I44" s="2">
        <v>0</v>
      </c>
      <c r="J44" s="5" t="s">
        <v>230</v>
      </c>
      <c r="K44" s="2">
        <v>0</v>
      </c>
      <c r="L44" s="5" t="s">
        <v>231</v>
      </c>
      <c r="M44" s="2">
        <v>0</v>
      </c>
      <c r="N44" s="5" t="s">
        <v>232</v>
      </c>
      <c r="O44" s="2">
        <v>0</v>
      </c>
      <c r="P44" s="5" t="s">
        <v>233</v>
      </c>
      <c r="Q44" s="2">
        <v>0</v>
      </c>
      <c r="AB44" s="4" t="s">
        <v>22</v>
      </c>
      <c r="AC44" s="2" t="b">
        <f t="shared" si="0"/>
        <v>0</v>
      </c>
      <c r="AE44" s="2">
        <f>(+M44+Q44)</f>
        <v>0</v>
      </c>
      <c r="AF44" s="2">
        <f>(+C44+I44+M44+Q44)</f>
        <v>0</v>
      </c>
      <c r="AG44" s="2">
        <f>(+E44+M44+O44)</f>
        <v>0</v>
      </c>
      <c r="AH44" s="2">
        <f>(+E44+K44+Q44)</f>
        <v>0</v>
      </c>
      <c r="AI44" s="2">
        <f>(+G44+I44+M44+O44+Q44)</f>
        <v>0</v>
      </c>
      <c r="AJ44" s="2">
        <f>(+C44+E44+I44)</f>
        <v>0</v>
      </c>
      <c r="AK44" s="2">
        <f>(+C44+K44+M44+O44+Q44)</f>
        <v>0</v>
      </c>
      <c r="AL44" s="2">
        <f>(+E44+G44+M44+Q44)</f>
        <v>0</v>
      </c>
      <c r="AM44" s="2">
        <f>(+E44+I44+M44+Q44)</f>
        <v>0</v>
      </c>
      <c r="AO44" s="4" t="s">
        <v>22</v>
      </c>
      <c r="AP44" s="2">
        <v>21</v>
      </c>
      <c r="AQ44" s="2">
        <v>49</v>
      </c>
      <c r="AR44" s="2">
        <v>41</v>
      </c>
      <c r="AS44" s="2">
        <v>41</v>
      </c>
      <c r="AT44" s="2">
        <v>47</v>
      </c>
      <c r="AU44" s="2">
        <v>48</v>
      </c>
      <c r="AV44" s="2">
        <v>62</v>
      </c>
      <c r="AW44" s="2">
        <v>49</v>
      </c>
      <c r="AX44" s="2">
        <v>49</v>
      </c>
      <c r="BA44" s="2">
        <f t="shared" si="1"/>
        <v>0</v>
      </c>
      <c r="BD44" s="10">
        <v>98</v>
      </c>
      <c r="BE44" s="2" t="b">
        <f t="shared" si="5"/>
        <v>0</v>
      </c>
      <c r="BF44" s="10">
        <v>98</v>
      </c>
      <c r="BG44" s="2" t="b">
        <f t="shared" si="2"/>
        <v>1</v>
      </c>
      <c r="BH44" s="10">
        <v>98</v>
      </c>
      <c r="BI44" s="2" t="b">
        <f t="shared" si="3"/>
        <v>1</v>
      </c>
      <c r="BJ44" s="10">
        <v>98</v>
      </c>
      <c r="BK44" s="2" t="b">
        <f t="shared" si="4"/>
        <v>1</v>
      </c>
    </row>
    <row r="45" spans="1:64" x14ac:dyDescent="0.2">
      <c r="A45" s="2" t="s">
        <v>234</v>
      </c>
      <c r="B45" s="5" t="s">
        <v>40</v>
      </c>
      <c r="C45" s="2">
        <v>0</v>
      </c>
      <c r="D45" s="5" t="s">
        <v>16</v>
      </c>
      <c r="E45" s="2">
        <v>0</v>
      </c>
      <c r="F45" s="5" t="s">
        <v>9</v>
      </c>
      <c r="G45" s="2">
        <v>0</v>
      </c>
      <c r="H45" s="5" t="s">
        <v>21</v>
      </c>
      <c r="I45" s="2">
        <v>0</v>
      </c>
      <c r="J45" s="5" t="s">
        <v>106</v>
      </c>
      <c r="K45" s="2">
        <v>0</v>
      </c>
      <c r="L45" s="5" t="s">
        <v>25</v>
      </c>
      <c r="M45" s="2">
        <v>0</v>
      </c>
      <c r="N45" s="5" t="s">
        <v>24</v>
      </c>
      <c r="O45" s="2">
        <v>0</v>
      </c>
      <c r="AB45" s="4" t="s">
        <v>22</v>
      </c>
      <c r="AC45" s="2" t="b">
        <f t="shared" si="0"/>
        <v>0</v>
      </c>
      <c r="AE45" s="2">
        <f>(+C45+K45)</f>
        <v>0</v>
      </c>
      <c r="AF45" s="2">
        <f>(+E45+I45)</f>
        <v>0</v>
      </c>
      <c r="AG45" s="2">
        <f>(+C45+E45+G45+I45+K45+O45)</f>
        <v>0</v>
      </c>
      <c r="AH45" s="2">
        <f>(+C45+E45+G45+M45)</f>
        <v>0</v>
      </c>
      <c r="AI45" s="2">
        <f>(+E45+K45+M45+O45)</f>
        <v>0</v>
      </c>
      <c r="AO45" s="4" t="s">
        <v>22</v>
      </c>
      <c r="AP45" s="2">
        <v>21</v>
      </c>
      <c r="AQ45" s="2">
        <v>9</v>
      </c>
      <c r="AR45" s="2">
        <v>52</v>
      </c>
      <c r="AS45" s="2">
        <v>34</v>
      </c>
      <c r="AT45" s="2">
        <v>33</v>
      </c>
      <c r="BA45" s="2">
        <f t="shared" si="1"/>
        <v>0</v>
      </c>
      <c r="BD45" s="10">
        <v>55</v>
      </c>
      <c r="BE45" s="2" t="b">
        <f t="shared" si="5"/>
        <v>0</v>
      </c>
      <c r="BF45" s="10">
        <v>55</v>
      </c>
      <c r="BG45" s="2" t="b">
        <f t="shared" si="2"/>
        <v>1</v>
      </c>
      <c r="BH45" s="10">
        <v>55</v>
      </c>
      <c r="BI45" s="2" t="b">
        <f t="shared" si="3"/>
        <v>1</v>
      </c>
      <c r="BJ45" s="10">
        <v>55</v>
      </c>
      <c r="BK45" s="2" t="b">
        <f t="shared" si="4"/>
        <v>1</v>
      </c>
    </row>
    <row r="46" spans="1:64" x14ac:dyDescent="0.2">
      <c r="A46" s="2" t="s">
        <v>235</v>
      </c>
      <c r="B46" s="5" t="s">
        <v>202</v>
      </c>
      <c r="C46" s="2">
        <v>0</v>
      </c>
      <c r="D46" s="5" t="s">
        <v>106</v>
      </c>
      <c r="E46" s="2">
        <v>0</v>
      </c>
      <c r="F46" s="5" t="s">
        <v>14</v>
      </c>
      <c r="G46" s="2">
        <v>0</v>
      </c>
      <c r="H46" s="5" t="s">
        <v>6</v>
      </c>
      <c r="I46" s="2">
        <v>0</v>
      </c>
      <c r="J46" s="5" t="s">
        <v>15</v>
      </c>
      <c r="K46" s="2">
        <v>0</v>
      </c>
      <c r="L46" s="5" t="s">
        <v>40</v>
      </c>
      <c r="M46" s="2">
        <v>0</v>
      </c>
      <c r="N46" s="5" t="s">
        <v>8</v>
      </c>
      <c r="O46" s="2">
        <v>0</v>
      </c>
      <c r="AB46" s="4" t="s">
        <v>22</v>
      </c>
      <c r="AC46" s="2" t="b">
        <f t="shared" si="0"/>
        <v>0</v>
      </c>
      <c r="AE46" s="2">
        <f>(+E46+G46+K46+M46)</f>
        <v>0</v>
      </c>
      <c r="AF46" s="2">
        <f>(+C46+K46)</f>
        <v>0</v>
      </c>
      <c r="AG46" s="2">
        <f>(+E46+K46+M46+O46)</f>
        <v>0</v>
      </c>
      <c r="AH46" s="2">
        <f>(+I46+M46)</f>
        <v>0</v>
      </c>
      <c r="AI46" s="2">
        <f>(+C46+E46+G46)</f>
        <v>0</v>
      </c>
      <c r="AO46" s="4" t="s">
        <v>22</v>
      </c>
      <c r="AP46" s="2">
        <v>35</v>
      </c>
      <c r="AQ46" s="2">
        <v>10</v>
      </c>
      <c r="AR46" s="2">
        <v>44</v>
      </c>
      <c r="AS46" s="2">
        <v>21</v>
      </c>
      <c r="AT46" s="2">
        <v>33</v>
      </c>
      <c r="BA46" s="2">
        <f t="shared" si="1"/>
        <v>0</v>
      </c>
      <c r="BD46" s="10">
        <v>63</v>
      </c>
      <c r="BE46" s="2" t="b">
        <f t="shared" si="5"/>
        <v>0</v>
      </c>
      <c r="BF46" s="10">
        <v>63</v>
      </c>
      <c r="BG46" s="2" t="b">
        <f t="shared" si="2"/>
        <v>1</v>
      </c>
      <c r="BH46" s="10">
        <v>63</v>
      </c>
      <c r="BI46" s="2" t="b">
        <f t="shared" si="3"/>
        <v>1</v>
      </c>
      <c r="BJ46" s="10">
        <v>63</v>
      </c>
      <c r="BK46" s="2" t="b">
        <f t="shared" si="4"/>
        <v>1</v>
      </c>
    </row>
    <row r="47" spans="1:64" x14ac:dyDescent="0.2">
      <c r="A47" s="2" t="s">
        <v>236</v>
      </c>
      <c r="B47" s="5" t="s">
        <v>57</v>
      </c>
      <c r="C47" s="2">
        <v>0</v>
      </c>
      <c r="D47" s="5" t="s">
        <v>237</v>
      </c>
      <c r="E47" s="2">
        <v>0</v>
      </c>
      <c r="F47" s="5" t="s">
        <v>26</v>
      </c>
      <c r="G47" s="2">
        <v>0</v>
      </c>
      <c r="H47" s="5" t="s">
        <v>24</v>
      </c>
      <c r="I47" s="2">
        <v>0</v>
      </c>
      <c r="J47" s="5" t="s">
        <v>13</v>
      </c>
      <c r="K47" s="2">
        <v>0</v>
      </c>
      <c r="L47" s="5" t="s">
        <v>226</v>
      </c>
      <c r="M47" s="2">
        <v>0</v>
      </c>
      <c r="N47" s="5" t="s">
        <v>238</v>
      </c>
      <c r="O47" s="2">
        <v>0</v>
      </c>
      <c r="P47" s="5" t="s">
        <v>30</v>
      </c>
      <c r="Q47" s="2">
        <v>0</v>
      </c>
      <c r="AB47" s="4" t="s">
        <v>22</v>
      </c>
      <c r="AC47" s="2" t="b">
        <f t="shared" si="0"/>
        <v>0</v>
      </c>
      <c r="AE47" s="2">
        <f>(+G47+K47+Q47)</f>
        <v>0</v>
      </c>
      <c r="AF47" s="2">
        <f>(+C47+M47+O47+Q47)</f>
        <v>0</v>
      </c>
      <c r="AG47" s="2">
        <f>(+C47+G47+I47+K47+O47+Q47)</f>
        <v>0</v>
      </c>
      <c r="AH47" s="2">
        <f>(+G47+K47)</f>
        <v>0</v>
      </c>
      <c r="AI47" s="2">
        <f>(+E47+I47+K47+O47+Q47)</f>
        <v>0</v>
      </c>
      <c r="AJ47" s="2">
        <f>(+E47+G47+M47+O47)</f>
        <v>0</v>
      </c>
      <c r="AK47" s="2">
        <f>(+C47+E47+M47+O47+Q47)</f>
        <v>0</v>
      </c>
      <c r="AO47" s="4" t="s">
        <v>22</v>
      </c>
      <c r="AP47" s="2">
        <v>29</v>
      </c>
      <c r="AQ47" s="2">
        <v>33</v>
      </c>
      <c r="AR47" s="2">
        <v>66</v>
      </c>
      <c r="AS47" s="2">
        <v>26</v>
      </c>
      <c r="AT47" s="2">
        <v>59</v>
      </c>
      <c r="AU47" s="2">
        <v>35</v>
      </c>
      <c r="AV47" s="2">
        <v>39</v>
      </c>
      <c r="BA47" s="2">
        <f t="shared" si="1"/>
        <v>0</v>
      </c>
      <c r="BD47" s="10">
        <v>0</v>
      </c>
      <c r="BE47" s="2" t="b">
        <f t="shared" si="5"/>
        <v>0</v>
      </c>
      <c r="BF47" s="10">
        <v>0</v>
      </c>
      <c r="BG47" s="2" t="b">
        <f t="shared" si="2"/>
        <v>1</v>
      </c>
      <c r="BH47" s="10">
        <v>0</v>
      </c>
      <c r="BI47" s="2" t="b">
        <f t="shared" si="3"/>
        <v>1</v>
      </c>
      <c r="BJ47" s="10">
        <v>72</v>
      </c>
      <c r="BK47" s="2" t="b">
        <f t="shared" si="4"/>
        <v>0</v>
      </c>
    </row>
    <row r="48" spans="1:64" x14ac:dyDescent="0.2">
      <c r="A48" s="2" t="s">
        <v>239</v>
      </c>
      <c r="B48" s="5" t="s">
        <v>87</v>
      </c>
      <c r="C48" s="2">
        <v>0</v>
      </c>
      <c r="D48" s="5" t="s">
        <v>240</v>
      </c>
      <c r="E48" s="2">
        <v>0</v>
      </c>
      <c r="F48" s="5" t="s">
        <v>241</v>
      </c>
      <c r="G48" s="2">
        <v>0</v>
      </c>
      <c r="H48" s="5" t="s">
        <v>75</v>
      </c>
      <c r="I48" s="2">
        <v>0</v>
      </c>
      <c r="J48" s="5" t="s">
        <v>242</v>
      </c>
      <c r="K48" s="2">
        <v>0</v>
      </c>
      <c r="L48" s="5" t="s">
        <v>124</v>
      </c>
      <c r="M48" s="2">
        <v>0</v>
      </c>
      <c r="N48" s="5" t="s">
        <v>243</v>
      </c>
      <c r="O48" s="2">
        <v>0</v>
      </c>
      <c r="P48" s="5" t="s">
        <v>31</v>
      </c>
      <c r="Q48" s="2">
        <v>0</v>
      </c>
      <c r="AB48" s="4" t="s">
        <v>22</v>
      </c>
      <c r="AC48" s="2" t="b">
        <f t="shared" si="0"/>
        <v>0</v>
      </c>
      <c r="AE48" s="2">
        <f>(+E48+I48)</f>
        <v>0</v>
      </c>
      <c r="AF48" s="2">
        <f>(+C48+O48+Q48)</f>
        <v>0</v>
      </c>
      <c r="AG48" s="2">
        <f>(+E48+G48+K48+Q48)</f>
        <v>0</v>
      </c>
      <c r="AH48" s="2">
        <f>(+C48+G48+O48)</f>
        <v>0</v>
      </c>
      <c r="AI48" s="2">
        <f>(+E48+G48+I48+Q48)</f>
        <v>0</v>
      </c>
      <c r="AJ48" s="2">
        <f>(+E48+I48+K48+M48+O48)</f>
        <v>0</v>
      </c>
      <c r="AK48" s="2">
        <f>(+C48+I48+K48+M48+O48+Q48)</f>
        <v>0</v>
      </c>
      <c r="AL48" s="2">
        <f>(+G48+I48+K48+M48)</f>
        <v>0</v>
      </c>
      <c r="AO48" s="4" t="s">
        <v>22</v>
      </c>
      <c r="AP48" s="2">
        <v>9</v>
      </c>
      <c r="AQ48" s="2">
        <v>38</v>
      </c>
      <c r="AR48" s="2">
        <v>31</v>
      </c>
      <c r="AS48" s="2">
        <v>36</v>
      </c>
      <c r="AT48" s="2">
        <v>31</v>
      </c>
      <c r="AU48" s="2">
        <v>37</v>
      </c>
      <c r="AV48" s="2">
        <v>61</v>
      </c>
      <c r="AW48" s="2">
        <v>33</v>
      </c>
      <c r="BA48" s="2">
        <f t="shared" si="1"/>
        <v>0</v>
      </c>
      <c r="BD48" s="10">
        <v>71</v>
      </c>
      <c r="BE48" s="2" t="b">
        <f t="shared" si="5"/>
        <v>0</v>
      </c>
      <c r="BF48" s="10">
        <v>71</v>
      </c>
      <c r="BG48" s="2" t="b">
        <f t="shared" si="2"/>
        <v>1</v>
      </c>
      <c r="BH48" s="10">
        <v>71</v>
      </c>
      <c r="BI48" s="2" t="b">
        <f t="shared" si="3"/>
        <v>1</v>
      </c>
      <c r="BJ48" s="10">
        <v>71</v>
      </c>
      <c r="BK48" s="2" t="b">
        <f t="shared" si="4"/>
        <v>1</v>
      </c>
    </row>
    <row r="49" spans="1:64" x14ac:dyDescent="0.2">
      <c r="A49" s="2" t="s">
        <v>244</v>
      </c>
      <c r="B49" s="5" t="s">
        <v>54</v>
      </c>
      <c r="C49" s="2">
        <v>0</v>
      </c>
      <c r="D49" s="5" t="s">
        <v>245</v>
      </c>
      <c r="E49" s="2">
        <v>0</v>
      </c>
      <c r="F49" s="5" t="s">
        <v>58</v>
      </c>
      <c r="G49" s="2">
        <v>0</v>
      </c>
      <c r="H49" s="5" t="s">
        <v>246</v>
      </c>
      <c r="I49" s="2">
        <v>0</v>
      </c>
      <c r="J49" s="5" t="s">
        <v>25</v>
      </c>
      <c r="K49" s="2">
        <v>0</v>
      </c>
      <c r="AB49" s="4" t="s">
        <v>22</v>
      </c>
      <c r="AC49" s="2" t="b">
        <f t="shared" si="0"/>
        <v>0</v>
      </c>
      <c r="AE49" s="2">
        <f>(+E49+I49)</f>
        <v>0</v>
      </c>
      <c r="AF49" s="2">
        <f>(+C49)</f>
        <v>0</v>
      </c>
      <c r="AG49" s="2">
        <f>(+C49+E49+G49+I49)</f>
        <v>0</v>
      </c>
      <c r="AH49" s="2">
        <f>(+C49+G49+K49)</f>
        <v>0</v>
      </c>
      <c r="AI49" s="2">
        <f>(+G49+I49+K49)</f>
        <v>0</v>
      </c>
      <c r="AJ49" s="2">
        <f>(+C49+E49+G49)</f>
        <v>0</v>
      </c>
      <c r="AK49" s="2">
        <f>(+C49+I49)</f>
        <v>0</v>
      </c>
      <c r="AO49" s="4" t="s">
        <v>22</v>
      </c>
      <c r="AP49" s="2">
        <v>20</v>
      </c>
      <c r="AQ49" s="2">
        <v>10</v>
      </c>
      <c r="AR49" s="2">
        <v>43</v>
      </c>
      <c r="AS49" s="2">
        <v>27</v>
      </c>
      <c r="AT49" s="2">
        <v>28</v>
      </c>
      <c r="AU49" s="2">
        <v>32</v>
      </c>
      <c r="AV49" s="2">
        <v>21</v>
      </c>
      <c r="BA49" s="2">
        <f t="shared" si="1"/>
        <v>0</v>
      </c>
      <c r="BD49" s="10">
        <v>47</v>
      </c>
      <c r="BE49" s="2" t="b">
        <f t="shared" si="5"/>
        <v>0</v>
      </c>
      <c r="BF49" s="10">
        <v>47</v>
      </c>
      <c r="BG49" s="2" t="b">
        <f t="shared" si="2"/>
        <v>1</v>
      </c>
      <c r="BH49" s="10">
        <v>47</v>
      </c>
      <c r="BI49" s="2" t="b">
        <f t="shared" si="3"/>
        <v>1</v>
      </c>
      <c r="BJ49" s="10">
        <v>47</v>
      </c>
      <c r="BK49" s="2" t="b">
        <f t="shared" si="4"/>
        <v>1</v>
      </c>
    </row>
    <row r="50" spans="1:64" x14ac:dyDescent="0.2">
      <c r="A50" s="2" t="s">
        <v>247</v>
      </c>
      <c r="B50" s="5" t="s">
        <v>226</v>
      </c>
      <c r="C50" s="2">
        <v>0</v>
      </c>
      <c r="D50" s="5" t="s">
        <v>232</v>
      </c>
      <c r="E50" s="2">
        <v>0</v>
      </c>
      <c r="F50" s="5" t="s">
        <v>123</v>
      </c>
      <c r="G50" s="2">
        <v>0</v>
      </c>
      <c r="H50" s="5" t="s">
        <v>248</v>
      </c>
      <c r="I50" s="2">
        <v>0</v>
      </c>
      <c r="J50" s="5" t="s">
        <v>249</v>
      </c>
      <c r="K50" s="2">
        <v>0</v>
      </c>
      <c r="L50" s="5" t="s">
        <v>250</v>
      </c>
      <c r="M50" s="2">
        <v>0</v>
      </c>
      <c r="N50" s="5" t="s">
        <v>182</v>
      </c>
      <c r="O50" s="2">
        <v>0</v>
      </c>
      <c r="P50" s="5" t="s">
        <v>251</v>
      </c>
      <c r="Q50" s="2">
        <v>0</v>
      </c>
      <c r="AB50" s="4" t="s">
        <v>22</v>
      </c>
      <c r="AC50" s="2" t="b">
        <f t="shared" si="0"/>
        <v>0</v>
      </c>
      <c r="AE50" s="2">
        <f>(+I50+K50+O50)</f>
        <v>0</v>
      </c>
      <c r="AF50" s="2">
        <f>(+C50+G50+I50+M50)</f>
        <v>0</v>
      </c>
      <c r="AG50" s="2">
        <f>(+E50+I50+K50+O50)</f>
        <v>0</v>
      </c>
      <c r="AH50" s="2">
        <f>(+I50+O50+Q50)</f>
        <v>0</v>
      </c>
      <c r="AI50" s="2">
        <f>(+E50+G50+I50+O50)</f>
        <v>0</v>
      </c>
      <c r="AJ50" s="2">
        <f>(+C50+K50)</f>
        <v>0</v>
      </c>
      <c r="AK50" s="2">
        <f>(+C50+E50+I50+K50+M50)</f>
        <v>0</v>
      </c>
      <c r="AL50" s="2">
        <f>(+G50+I50+K50+M50+O50+Q50)</f>
        <v>0</v>
      </c>
      <c r="AM50" s="2">
        <f>(+I50)</f>
        <v>0</v>
      </c>
      <c r="AO50" s="4" t="s">
        <v>22</v>
      </c>
      <c r="AP50" s="2">
        <v>11</v>
      </c>
      <c r="AQ50" s="2">
        <v>32</v>
      </c>
      <c r="AR50" s="2">
        <v>13</v>
      </c>
      <c r="AS50" s="2">
        <v>26</v>
      </c>
      <c r="AT50" s="2">
        <v>13</v>
      </c>
      <c r="AU50" s="2">
        <v>25</v>
      </c>
      <c r="AV50" s="2">
        <v>34</v>
      </c>
      <c r="AW50" s="2">
        <v>37</v>
      </c>
      <c r="AX50" s="2">
        <v>6</v>
      </c>
      <c r="BA50" s="2">
        <f t="shared" si="1"/>
        <v>0</v>
      </c>
      <c r="BD50" s="10">
        <v>59</v>
      </c>
      <c r="BE50" s="2" t="b">
        <f t="shared" si="5"/>
        <v>0</v>
      </c>
      <c r="BF50" s="10">
        <v>59</v>
      </c>
      <c r="BG50" s="2" t="b">
        <f t="shared" si="2"/>
        <v>1</v>
      </c>
      <c r="BH50" s="10">
        <v>59</v>
      </c>
      <c r="BI50" s="2" t="b">
        <f t="shared" si="3"/>
        <v>1</v>
      </c>
      <c r="BJ50" s="10">
        <v>59</v>
      </c>
      <c r="BK50" s="2" t="b">
        <f t="shared" si="4"/>
        <v>1</v>
      </c>
    </row>
    <row r="51" spans="1:64" s="6" customFormat="1" x14ac:dyDescent="0.2">
      <c r="A51" s="6" t="s">
        <v>252</v>
      </c>
      <c r="B51" s="7" t="s">
        <v>11</v>
      </c>
      <c r="C51" s="6">
        <v>30</v>
      </c>
      <c r="D51" s="7" t="s">
        <v>128</v>
      </c>
      <c r="E51" s="6">
        <v>3</v>
      </c>
      <c r="F51" s="7" t="s">
        <v>40</v>
      </c>
      <c r="G51" s="6">
        <v>0</v>
      </c>
      <c r="H51" s="7" t="s">
        <v>9</v>
      </c>
      <c r="I51" s="6">
        <v>183</v>
      </c>
      <c r="J51" s="7" t="s">
        <v>6</v>
      </c>
      <c r="K51" s="6">
        <v>3</v>
      </c>
      <c r="L51" s="7" t="s">
        <v>253</v>
      </c>
      <c r="M51" s="6">
        <v>0</v>
      </c>
      <c r="N51" s="7" t="s">
        <v>38</v>
      </c>
      <c r="O51" s="6">
        <v>0</v>
      </c>
      <c r="P51" s="7"/>
      <c r="R51" s="7"/>
      <c r="T51" s="7"/>
      <c r="V51" s="7"/>
      <c r="X51" s="7"/>
      <c r="Z51" s="7"/>
      <c r="AB51" s="6" t="s">
        <v>22</v>
      </c>
      <c r="AC51" s="6" t="b">
        <f t="shared" si="0"/>
        <v>1</v>
      </c>
      <c r="AE51" s="6">
        <f>(+C51+E51+G51+M51)</f>
        <v>33</v>
      </c>
      <c r="AF51" s="6">
        <f>(+C51+E51+O51)</f>
        <v>33</v>
      </c>
      <c r="AG51" s="6">
        <f>(+G51+I51)</f>
        <v>183</v>
      </c>
      <c r="AH51" s="6">
        <f>(+G51+I51+K51)</f>
        <v>186</v>
      </c>
      <c r="AI51" s="6">
        <f>(+E51)</f>
        <v>3</v>
      </c>
      <c r="AO51" s="6" t="s">
        <v>22</v>
      </c>
      <c r="AP51" s="6">
        <v>33</v>
      </c>
      <c r="AQ51" s="6">
        <v>33</v>
      </c>
      <c r="AR51" s="6">
        <v>183</v>
      </c>
      <c r="AS51" s="6">
        <v>186</v>
      </c>
      <c r="AT51" s="6">
        <v>3</v>
      </c>
      <c r="BA51" s="6">
        <f t="shared" si="1"/>
        <v>219</v>
      </c>
      <c r="BB51" s="2"/>
      <c r="BC51" s="2"/>
      <c r="BD51" s="10">
        <v>219</v>
      </c>
      <c r="BE51" s="2" t="b">
        <f t="shared" si="5"/>
        <v>1</v>
      </c>
      <c r="BF51" s="10">
        <v>219</v>
      </c>
      <c r="BG51" s="2" t="b">
        <f t="shared" si="2"/>
        <v>1</v>
      </c>
      <c r="BH51" s="10">
        <v>219</v>
      </c>
      <c r="BI51" s="2" t="b">
        <f t="shared" si="3"/>
        <v>1</v>
      </c>
      <c r="BJ51" s="10">
        <v>219</v>
      </c>
      <c r="BK51" s="2" t="b">
        <f t="shared" si="4"/>
        <v>1</v>
      </c>
      <c r="BL51" s="2"/>
    </row>
    <row r="52" spans="1:64" x14ac:dyDescent="0.2">
      <c r="A52" s="2" t="s">
        <v>254</v>
      </c>
      <c r="B52" s="5" t="s">
        <v>255</v>
      </c>
      <c r="C52" s="2">
        <v>0</v>
      </c>
      <c r="D52" s="5" t="s">
        <v>19</v>
      </c>
      <c r="E52" s="2">
        <v>0</v>
      </c>
      <c r="F52" s="5" t="s">
        <v>118</v>
      </c>
      <c r="G52" s="2">
        <v>0</v>
      </c>
      <c r="H52" s="5" t="s">
        <v>256</v>
      </c>
      <c r="I52" s="2">
        <v>0</v>
      </c>
      <c r="J52" s="5" t="s">
        <v>257</v>
      </c>
      <c r="K52" s="2">
        <v>0</v>
      </c>
      <c r="L52" s="5" t="s">
        <v>238</v>
      </c>
      <c r="M52" s="2">
        <v>0</v>
      </c>
      <c r="N52" s="5" t="s">
        <v>13</v>
      </c>
      <c r="O52" s="2">
        <v>0</v>
      </c>
      <c r="AB52" s="4" t="s">
        <v>22</v>
      </c>
      <c r="AC52" s="2" t="b">
        <f t="shared" si="0"/>
        <v>0</v>
      </c>
      <c r="AE52" s="2">
        <f>(+E52+I52+K52+O52)</f>
        <v>0</v>
      </c>
      <c r="AF52" s="2">
        <f>(+C52+G52+K52+M52)</f>
        <v>0</v>
      </c>
      <c r="AG52" s="2">
        <f>(+I52+K52+M52+O52)</f>
        <v>0</v>
      </c>
      <c r="AH52" s="2">
        <f>(+C52+E52+G52+I52+K52+O52)</f>
        <v>0</v>
      </c>
      <c r="AI52" s="2">
        <f>(+E52+G52+M52+O52)</f>
        <v>0</v>
      </c>
      <c r="AJ52" s="2">
        <f>(+C52+M52)</f>
        <v>0</v>
      </c>
      <c r="AK52" s="2">
        <f>(+I52+K52+M52)</f>
        <v>0</v>
      </c>
      <c r="AO52" s="4" t="s">
        <v>22</v>
      </c>
      <c r="AP52" s="2">
        <v>62</v>
      </c>
      <c r="AQ52" s="2">
        <v>36</v>
      </c>
      <c r="AR52" s="2">
        <v>54</v>
      </c>
      <c r="AS52" s="2">
        <v>80</v>
      </c>
      <c r="AT52" s="2">
        <v>33</v>
      </c>
      <c r="AU52" s="2">
        <v>11</v>
      </c>
      <c r="AV52" s="2">
        <v>36</v>
      </c>
      <c r="BA52" s="2">
        <f t="shared" si="1"/>
        <v>0</v>
      </c>
      <c r="BD52" s="10">
        <v>80</v>
      </c>
      <c r="BE52" s="2" t="b">
        <f t="shared" si="5"/>
        <v>0</v>
      </c>
      <c r="BF52" s="10">
        <v>80</v>
      </c>
      <c r="BG52" s="2" t="b">
        <f t="shared" si="2"/>
        <v>1</v>
      </c>
      <c r="BH52" s="10">
        <v>80</v>
      </c>
      <c r="BI52" s="2" t="b">
        <f t="shared" si="3"/>
        <v>1</v>
      </c>
      <c r="BJ52" s="10">
        <v>80</v>
      </c>
      <c r="BK52" s="2" t="b">
        <f t="shared" si="4"/>
        <v>1</v>
      </c>
    </row>
    <row r="53" spans="1:64" x14ac:dyDescent="0.2">
      <c r="A53" s="2" t="s">
        <v>258</v>
      </c>
      <c r="B53" s="5" t="s">
        <v>259</v>
      </c>
      <c r="C53" s="2">
        <v>0</v>
      </c>
      <c r="D53" s="5" t="s">
        <v>260</v>
      </c>
      <c r="E53" s="2">
        <v>0</v>
      </c>
      <c r="F53" s="5" t="s">
        <v>261</v>
      </c>
      <c r="G53" s="2">
        <v>0</v>
      </c>
      <c r="H53" s="5" t="s">
        <v>206</v>
      </c>
      <c r="I53" s="2">
        <v>0</v>
      </c>
      <c r="J53" s="5" t="s">
        <v>262</v>
      </c>
      <c r="K53" s="2">
        <v>0</v>
      </c>
      <c r="L53" s="5" t="s">
        <v>79</v>
      </c>
      <c r="M53" s="2">
        <v>0</v>
      </c>
      <c r="N53" s="5" t="s">
        <v>263</v>
      </c>
      <c r="O53" s="2">
        <v>0</v>
      </c>
      <c r="P53" s="5" t="s">
        <v>264</v>
      </c>
      <c r="Q53" s="2">
        <v>0</v>
      </c>
      <c r="AB53" s="4" t="s">
        <v>22</v>
      </c>
      <c r="AC53" s="2" t="b">
        <f t="shared" si="0"/>
        <v>0</v>
      </c>
      <c r="AE53" s="2">
        <f>(+C53+G53+M53+Q53)</f>
        <v>0</v>
      </c>
      <c r="AF53" s="2">
        <f>(+C53+G53+I53+O53)</f>
        <v>0</v>
      </c>
      <c r="AG53" s="2">
        <f>(+C53+G53+K53)</f>
        <v>0</v>
      </c>
      <c r="AH53" s="2">
        <f>(+C53+G53+M53)</f>
        <v>0</v>
      </c>
      <c r="AI53" s="2">
        <f>(+E53+G53+M53+O53+Q53)</f>
        <v>0</v>
      </c>
      <c r="AJ53" s="2">
        <f>(+C53+G53)</f>
        <v>0</v>
      </c>
      <c r="AK53" s="2">
        <f>(+G53+M53+Q53)</f>
        <v>0</v>
      </c>
      <c r="AL53" s="2">
        <f>(+G53+I53+K53+O53)</f>
        <v>0</v>
      </c>
      <c r="AM53" s="2">
        <f>(+E53+G53+I53+Q53)</f>
        <v>0</v>
      </c>
      <c r="AN53" s="2">
        <f>(+C53+E53+M53+O53)</f>
        <v>0</v>
      </c>
      <c r="AO53" s="4" t="s">
        <v>22</v>
      </c>
      <c r="AP53" s="2">
        <v>41</v>
      </c>
      <c r="AQ53" s="2">
        <v>27</v>
      </c>
      <c r="AR53" s="2">
        <v>33</v>
      </c>
      <c r="AS53" s="2">
        <v>26</v>
      </c>
      <c r="AT53" s="2">
        <v>55</v>
      </c>
      <c r="AU53" s="2">
        <v>17</v>
      </c>
      <c r="AV53" s="2">
        <v>34</v>
      </c>
      <c r="AW53" s="2">
        <v>36</v>
      </c>
      <c r="AX53" s="2">
        <v>44</v>
      </c>
      <c r="AY53" s="2">
        <v>37</v>
      </c>
      <c r="BA53" s="2">
        <f t="shared" si="1"/>
        <v>0</v>
      </c>
      <c r="BD53" s="10">
        <v>82</v>
      </c>
      <c r="BE53" s="2" t="b">
        <f t="shared" si="5"/>
        <v>0</v>
      </c>
      <c r="BF53" s="10">
        <v>82</v>
      </c>
      <c r="BG53" s="2" t="b">
        <f t="shared" si="2"/>
        <v>1</v>
      </c>
      <c r="BH53" s="10">
        <v>82</v>
      </c>
      <c r="BI53" s="2" t="b">
        <f t="shared" si="3"/>
        <v>1</v>
      </c>
      <c r="BJ53" s="10">
        <v>82</v>
      </c>
      <c r="BK53" s="2" t="b">
        <f t="shared" si="4"/>
        <v>1</v>
      </c>
    </row>
    <row r="54" spans="1:64" x14ac:dyDescent="0.2">
      <c r="A54" s="2" t="s">
        <v>265</v>
      </c>
      <c r="B54" s="5" t="s">
        <v>106</v>
      </c>
      <c r="C54" s="2">
        <v>0</v>
      </c>
      <c r="D54" s="5" t="s">
        <v>169</v>
      </c>
      <c r="E54" s="2">
        <v>0</v>
      </c>
      <c r="F54" s="5" t="s">
        <v>118</v>
      </c>
      <c r="G54" s="2">
        <v>0</v>
      </c>
      <c r="H54" s="5" t="s">
        <v>128</v>
      </c>
      <c r="I54" s="2">
        <v>0</v>
      </c>
      <c r="J54" s="5" t="s">
        <v>10</v>
      </c>
      <c r="K54" s="2">
        <v>0</v>
      </c>
      <c r="L54" s="5" t="s">
        <v>21</v>
      </c>
      <c r="M54" s="2">
        <v>0</v>
      </c>
      <c r="AB54" s="4" t="s">
        <v>22</v>
      </c>
      <c r="AC54" s="2" t="b">
        <f t="shared" si="0"/>
        <v>0</v>
      </c>
      <c r="AE54" s="2">
        <f>(+C54+I54+K54)</f>
        <v>0</v>
      </c>
      <c r="AF54" s="2">
        <f>(+G54+I54+M54)</f>
        <v>0</v>
      </c>
      <c r="AG54" s="2">
        <f>(+C54+E54+K54+M54)</f>
        <v>0</v>
      </c>
      <c r="AH54" s="2">
        <f>(+E54+G54)</f>
        <v>0</v>
      </c>
      <c r="AI54" s="2">
        <f>(+C54+E54+G54+I54)</f>
        <v>0</v>
      </c>
      <c r="AO54" s="4" t="s">
        <v>22</v>
      </c>
      <c r="AP54" s="2">
        <v>23</v>
      </c>
      <c r="AQ54" s="2">
        <v>31</v>
      </c>
      <c r="AR54" s="2">
        <v>46</v>
      </c>
      <c r="AS54" s="2">
        <v>16</v>
      </c>
      <c r="AT54" s="2">
        <v>22</v>
      </c>
      <c r="BA54" s="2">
        <f t="shared" si="1"/>
        <v>0</v>
      </c>
      <c r="BD54" s="10">
        <v>58</v>
      </c>
      <c r="BE54" s="2" t="b">
        <f t="shared" si="5"/>
        <v>0</v>
      </c>
      <c r="BF54" s="10">
        <v>58</v>
      </c>
      <c r="BG54" s="2" t="b">
        <f t="shared" si="2"/>
        <v>1</v>
      </c>
      <c r="BH54" s="10">
        <v>58</v>
      </c>
      <c r="BI54" s="2" t="b">
        <f t="shared" si="3"/>
        <v>1</v>
      </c>
      <c r="BJ54" s="10">
        <v>58</v>
      </c>
      <c r="BK54" s="2" t="b">
        <f t="shared" si="4"/>
        <v>1</v>
      </c>
    </row>
    <row r="55" spans="1:64" x14ac:dyDescent="0.2">
      <c r="A55" s="2" t="s">
        <v>266</v>
      </c>
      <c r="B55" s="5" t="s">
        <v>267</v>
      </c>
      <c r="C55" s="2">
        <v>0</v>
      </c>
      <c r="D55" s="5" t="s">
        <v>268</v>
      </c>
      <c r="E55" s="2">
        <v>0</v>
      </c>
      <c r="F55" s="5" t="s">
        <v>269</v>
      </c>
      <c r="G55" s="2">
        <v>0</v>
      </c>
      <c r="H55" s="5" t="s">
        <v>43</v>
      </c>
      <c r="I55" s="2">
        <v>0</v>
      </c>
      <c r="J55" s="5" t="s">
        <v>270</v>
      </c>
      <c r="K55" s="2">
        <v>0</v>
      </c>
      <c r="L55" s="5" t="s">
        <v>271</v>
      </c>
      <c r="M55" s="2">
        <v>0</v>
      </c>
      <c r="N55" s="5" t="s">
        <v>47</v>
      </c>
      <c r="O55" s="2">
        <v>0</v>
      </c>
      <c r="P55" s="5" t="s">
        <v>272</v>
      </c>
      <c r="Q55" s="2">
        <v>0</v>
      </c>
      <c r="R55" s="5" t="s">
        <v>228</v>
      </c>
      <c r="S55" s="2">
        <v>0</v>
      </c>
      <c r="T55" s="5" t="s">
        <v>273</v>
      </c>
      <c r="U55" s="2">
        <v>0</v>
      </c>
      <c r="V55" s="5" t="s">
        <v>274</v>
      </c>
      <c r="W55" s="2">
        <v>0</v>
      </c>
      <c r="AB55" s="4" t="s">
        <v>22</v>
      </c>
      <c r="AC55" s="2" t="b">
        <f t="shared" si="0"/>
        <v>0</v>
      </c>
      <c r="AE55" s="2">
        <f>(+K55+M55+O55+Q55+U55)</f>
        <v>0</v>
      </c>
      <c r="AF55" s="2">
        <f>(+G55+M55+U55)</f>
        <v>0</v>
      </c>
      <c r="AG55" s="2">
        <f>(+E55+I55+K55+W55)</f>
        <v>0</v>
      </c>
      <c r="AH55" s="2">
        <f>(+C55+G55+K55+M55+O55)</f>
        <v>0</v>
      </c>
      <c r="AI55" s="2">
        <f>(+E55+G55+I55+K55+M55+S55+U55)</f>
        <v>0</v>
      </c>
      <c r="AJ55" s="2">
        <f>(+C55+I55+K55+U55)</f>
        <v>0</v>
      </c>
      <c r="AK55" s="2">
        <f>(+E55+G55+K55+M55+U55+W55)</f>
        <v>0</v>
      </c>
      <c r="AL55" s="2">
        <f>(+G55+M55+S55)</f>
        <v>0</v>
      </c>
      <c r="AM55" s="2">
        <f>(+C55+E55+G55+K55+Q55+W55)</f>
        <v>0</v>
      </c>
      <c r="AN55" s="2">
        <f>(+K55+M55+U55+W55)</f>
        <v>0</v>
      </c>
      <c r="AO55" s="4" t="s">
        <v>22</v>
      </c>
      <c r="AP55" s="2">
        <v>55</v>
      </c>
      <c r="AQ55" s="2">
        <v>42</v>
      </c>
      <c r="AR55" s="2">
        <v>59</v>
      </c>
      <c r="AS55" s="2">
        <v>72</v>
      </c>
      <c r="AT55" s="2">
        <v>99</v>
      </c>
      <c r="AU55" s="2">
        <v>45</v>
      </c>
      <c r="AV55" s="2">
        <v>83</v>
      </c>
      <c r="AW55" s="2">
        <v>48</v>
      </c>
      <c r="AX55" s="2">
        <v>78</v>
      </c>
      <c r="AY55" s="2">
        <v>47</v>
      </c>
      <c r="BA55" s="2">
        <f t="shared" si="1"/>
        <v>0</v>
      </c>
      <c r="BD55" s="10">
        <v>0</v>
      </c>
      <c r="BE55" s="2" t="b">
        <f t="shared" si="5"/>
        <v>0</v>
      </c>
      <c r="BF55" s="10">
        <v>0</v>
      </c>
      <c r="BG55" s="2" t="b">
        <f t="shared" si="2"/>
        <v>1</v>
      </c>
      <c r="BH55" s="10">
        <v>156</v>
      </c>
      <c r="BI55" s="2" t="b">
        <f t="shared" si="3"/>
        <v>0</v>
      </c>
      <c r="BJ55" s="10">
        <v>135</v>
      </c>
      <c r="BK55" s="2" t="b">
        <f t="shared" si="4"/>
        <v>0</v>
      </c>
    </row>
    <row r="56" spans="1:64" s="6" customFormat="1" x14ac:dyDescent="0.2">
      <c r="A56" s="6" t="s">
        <v>275</v>
      </c>
      <c r="B56" s="7" t="s">
        <v>39</v>
      </c>
      <c r="C56" s="6">
        <v>2</v>
      </c>
      <c r="D56" s="7" t="s">
        <v>47</v>
      </c>
      <c r="E56" s="6">
        <v>5</v>
      </c>
      <c r="F56" s="7" t="s">
        <v>21</v>
      </c>
      <c r="G56" s="6">
        <v>15</v>
      </c>
      <c r="H56" s="7"/>
      <c r="J56" s="7"/>
      <c r="L56" s="7"/>
      <c r="N56" s="7"/>
      <c r="P56" s="7"/>
      <c r="R56" s="7"/>
      <c r="T56" s="7"/>
      <c r="V56" s="7"/>
      <c r="X56" s="7"/>
      <c r="Z56" s="7"/>
      <c r="AB56" s="6" t="s">
        <v>22</v>
      </c>
      <c r="AC56" s="6" t="b">
        <f t="shared" si="0"/>
        <v>1</v>
      </c>
      <c r="AE56" s="6">
        <f>(+C56+E56)</f>
        <v>7</v>
      </c>
      <c r="AF56" s="6">
        <f>(+C56+G56)</f>
        <v>17</v>
      </c>
      <c r="AG56" s="6">
        <f>(+G56)</f>
        <v>15</v>
      </c>
      <c r="AH56" s="6">
        <f>(+C56+E56)</f>
        <v>7</v>
      </c>
      <c r="AO56" s="6" t="s">
        <v>22</v>
      </c>
      <c r="AP56" s="6">
        <v>7</v>
      </c>
      <c r="AQ56" s="6">
        <v>17</v>
      </c>
      <c r="AR56" s="6">
        <v>15</v>
      </c>
      <c r="AS56" s="6">
        <v>7</v>
      </c>
      <c r="BA56" s="6">
        <f t="shared" si="1"/>
        <v>22</v>
      </c>
      <c r="BB56" s="2"/>
      <c r="BC56" s="2"/>
      <c r="BD56" s="10">
        <v>22</v>
      </c>
      <c r="BE56" s="2" t="b">
        <f t="shared" si="5"/>
        <v>1</v>
      </c>
      <c r="BF56" s="10">
        <v>22</v>
      </c>
      <c r="BG56" s="2" t="b">
        <f t="shared" si="2"/>
        <v>1</v>
      </c>
      <c r="BH56" s="10">
        <v>22</v>
      </c>
      <c r="BI56" s="2" t="b">
        <f t="shared" si="3"/>
        <v>1</v>
      </c>
      <c r="BJ56" s="10">
        <v>22</v>
      </c>
      <c r="BK56" s="2" t="b">
        <f t="shared" si="4"/>
        <v>1</v>
      </c>
      <c r="BL56" s="2"/>
    </row>
    <row r="57" spans="1:64" x14ac:dyDescent="0.2">
      <c r="A57" s="2" t="s">
        <v>276</v>
      </c>
      <c r="B57" s="5" t="s">
        <v>277</v>
      </c>
      <c r="C57" s="2">
        <v>0</v>
      </c>
      <c r="D57" s="5" t="s">
        <v>278</v>
      </c>
      <c r="E57" s="2">
        <v>0</v>
      </c>
      <c r="F57" s="5" t="s">
        <v>13</v>
      </c>
      <c r="G57" s="2">
        <v>0</v>
      </c>
      <c r="H57" s="5" t="s">
        <v>68</v>
      </c>
      <c r="I57" s="2">
        <v>0</v>
      </c>
      <c r="J57" s="5" t="s">
        <v>7</v>
      </c>
      <c r="K57" s="2">
        <v>0</v>
      </c>
      <c r="L57" s="5" t="s">
        <v>56</v>
      </c>
      <c r="M57" s="2">
        <v>0</v>
      </c>
      <c r="N57" s="5" t="s">
        <v>231</v>
      </c>
      <c r="O57" s="2">
        <v>0</v>
      </c>
      <c r="P57" s="5" t="s">
        <v>30</v>
      </c>
      <c r="Q57" s="2">
        <v>0</v>
      </c>
      <c r="AB57" s="4" t="s">
        <v>22</v>
      </c>
      <c r="AC57" s="2" t="b">
        <f t="shared" si="0"/>
        <v>0</v>
      </c>
      <c r="AE57" s="2">
        <f>(+G57+I57+O57+Q57)</f>
        <v>0</v>
      </c>
      <c r="AF57" s="2">
        <f>(+C57+K57+O57+Q57)</f>
        <v>0</v>
      </c>
      <c r="AG57" s="2">
        <f>(+C57+G57+M57+O57+Q57)</f>
        <v>0</v>
      </c>
      <c r="AH57" s="2">
        <f>(+G57+I57+K57)</f>
        <v>0</v>
      </c>
      <c r="AI57" s="2">
        <f>(+C57+E57+G57+O57+Q57)</f>
        <v>0</v>
      </c>
      <c r="AJ57" s="2">
        <f>(+M57)</f>
        <v>0</v>
      </c>
      <c r="AK57" s="2">
        <f>(+C57+E57+O57+Q57)</f>
        <v>0</v>
      </c>
      <c r="AL57" s="2">
        <f>(+I57+O57)</f>
        <v>0</v>
      </c>
      <c r="AM57" s="2">
        <f>(+C57+O57)</f>
        <v>0</v>
      </c>
      <c r="AO57" s="4" t="s">
        <v>22</v>
      </c>
      <c r="AP57" s="2">
        <v>38</v>
      </c>
      <c r="AQ57" s="2">
        <v>35</v>
      </c>
      <c r="AR57" s="2">
        <v>33</v>
      </c>
      <c r="AS57" s="2">
        <v>27</v>
      </c>
      <c r="AT57" s="2">
        <v>39</v>
      </c>
      <c r="AU57" s="2">
        <v>4</v>
      </c>
      <c r="AV57" s="2">
        <v>36</v>
      </c>
      <c r="AW57" s="2">
        <v>15</v>
      </c>
      <c r="AX57" s="2">
        <v>6</v>
      </c>
      <c r="BA57" s="2">
        <f t="shared" si="1"/>
        <v>0</v>
      </c>
      <c r="BD57" s="10">
        <v>0</v>
      </c>
      <c r="BE57" s="2" t="b">
        <f t="shared" si="5"/>
        <v>0</v>
      </c>
      <c r="BF57" s="10">
        <v>67</v>
      </c>
      <c r="BG57" s="2" t="b">
        <f t="shared" si="2"/>
        <v>0</v>
      </c>
      <c r="BH57" s="10">
        <v>67</v>
      </c>
      <c r="BI57" s="2" t="b">
        <f t="shared" si="3"/>
        <v>1</v>
      </c>
      <c r="BJ57" s="10">
        <v>67</v>
      </c>
      <c r="BK57" s="2" t="b">
        <f t="shared" si="4"/>
        <v>1</v>
      </c>
    </row>
    <row r="58" spans="1:64" x14ac:dyDescent="0.2">
      <c r="A58" s="2" t="s">
        <v>279</v>
      </c>
      <c r="B58" s="5" t="s">
        <v>280</v>
      </c>
      <c r="C58" s="2">
        <v>0</v>
      </c>
      <c r="D58" s="5" t="s">
        <v>281</v>
      </c>
      <c r="E58" s="2">
        <v>0</v>
      </c>
      <c r="F58" s="5" t="s">
        <v>282</v>
      </c>
      <c r="G58" s="2">
        <v>0</v>
      </c>
      <c r="H58" s="5" t="s">
        <v>283</v>
      </c>
      <c r="I58" s="2">
        <v>0</v>
      </c>
      <c r="J58" s="5" t="s">
        <v>237</v>
      </c>
      <c r="K58" s="2">
        <v>0</v>
      </c>
      <c r="L58" s="5" t="s">
        <v>284</v>
      </c>
      <c r="M58" s="2">
        <v>0</v>
      </c>
      <c r="N58" s="5" t="s">
        <v>285</v>
      </c>
      <c r="O58" s="2">
        <v>0</v>
      </c>
      <c r="P58" s="5" t="s">
        <v>257</v>
      </c>
      <c r="Q58" s="2">
        <v>0</v>
      </c>
      <c r="R58" s="5" t="s">
        <v>56</v>
      </c>
      <c r="S58" s="2">
        <v>0</v>
      </c>
      <c r="T58" s="5" t="s">
        <v>286</v>
      </c>
      <c r="U58" s="2">
        <v>0</v>
      </c>
      <c r="AB58" s="4" t="s">
        <v>22</v>
      </c>
      <c r="AC58" s="2" t="b">
        <f t="shared" si="0"/>
        <v>0</v>
      </c>
      <c r="AE58" s="2">
        <f>(+C58+E58+Q58)</f>
        <v>0</v>
      </c>
      <c r="AF58" s="2">
        <f>(+C58+G58+O58+Q58+U58)</f>
        <v>0</v>
      </c>
      <c r="AG58" s="2">
        <f>(+C58+I58+O58+Q58+S58)</f>
        <v>0</v>
      </c>
      <c r="AH58" s="2">
        <f>(+C58+M58+O58+Q58)</f>
        <v>0</v>
      </c>
      <c r="AI58" s="2">
        <f>(+C58+G58+K58+M58+O58+U58)</f>
        <v>0</v>
      </c>
      <c r="AJ58" s="2">
        <f>(+C58+E58+G58+I58+K58+M58+O58+S58)</f>
        <v>0</v>
      </c>
      <c r="AK58" s="2">
        <f>(+E58+G58+K58+M58+O58+Q58+U58)</f>
        <v>0</v>
      </c>
      <c r="AL58" s="2">
        <f>(+E58+I58+M58+O58+U58)</f>
        <v>0</v>
      </c>
      <c r="AO58" s="4" t="s">
        <v>22</v>
      </c>
      <c r="AP58" s="2">
        <v>36</v>
      </c>
      <c r="AQ58" s="2">
        <v>47</v>
      </c>
      <c r="AR58" s="2">
        <v>48</v>
      </c>
      <c r="AS58" s="2">
        <v>28</v>
      </c>
      <c r="AT58" s="2">
        <v>63</v>
      </c>
      <c r="AU58" s="2">
        <v>86</v>
      </c>
      <c r="AV58" s="2">
        <v>63</v>
      </c>
      <c r="AW58" s="2">
        <v>53</v>
      </c>
      <c r="BA58" s="2">
        <f t="shared" si="1"/>
        <v>0</v>
      </c>
      <c r="BD58" s="10">
        <v>0</v>
      </c>
      <c r="BE58" s="2" t="b">
        <f t="shared" si="5"/>
        <v>0</v>
      </c>
      <c r="BF58" s="10">
        <v>0</v>
      </c>
      <c r="BG58" s="2" t="b">
        <f t="shared" si="2"/>
        <v>1</v>
      </c>
      <c r="BH58" s="10">
        <v>105</v>
      </c>
      <c r="BI58" s="2" t="b">
        <f t="shared" si="3"/>
        <v>0</v>
      </c>
      <c r="BJ58" s="10">
        <v>101</v>
      </c>
      <c r="BK58" s="2" t="b">
        <f t="shared" si="4"/>
        <v>0</v>
      </c>
    </row>
    <row r="59" spans="1:64" s="6" customFormat="1" x14ac:dyDescent="0.2">
      <c r="A59" s="6" t="s">
        <v>287</v>
      </c>
      <c r="B59" s="7" t="s">
        <v>50</v>
      </c>
      <c r="C59" s="6">
        <v>5</v>
      </c>
      <c r="D59" s="7" t="s">
        <v>11</v>
      </c>
      <c r="E59" s="6">
        <v>15</v>
      </c>
      <c r="F59" s="7" t="s">
        <v>6</v>
      </c>
      <c r="G59" s="6">
        <v>3</v>
      </c>
      <c r="H59" s="7" t="s">
        <v>40</v>
      </c>
      <c r="I59" s="6">
        <v>1</v>
      </c>
      <c r="J59" s="7"/>
      <c r="L59" s="7"/>
      <c r="N59" s="7"/>
      <c r="P59" s="7"/>
      <c r="R59" s="7"/>
      <c r="T59" s="7"/>
      <c r="V59" s="7"/>
      <c r="X59" s="7"/>
      <c r="Z59" s="7"/>
      <c r="AB59" s="6" t="s">
        <v>22</v>
      </c>
      <c r="AC59" s="6" t="b">
        <f t="shared" si="0"/>
        <v>1</v>
      </c>
      <c r="AE59" s="6">
        <f>(+E59+I59)</f>
        <v>16</v>
      </c>
      <c r="AF59" s="6">
        <f>(+C59+E59)</f>
        <v>20</v>
      </c>
      <c r="AG59" s="6">
        <f>(+C59+I59)</f>
        <v>6</v>
      </c>
      <c r="AH59" s="6">
        <f>(+C59+G59+I59)</f>
        <v>9</v>
      </c>
      <c r="AO59" s="6" t="s">
        <v>22</v>
      </c>
      <c r="AP59" s="6">
        <v>16</v>
      </c>
      <c r="AQ59" s="6">
        <v>20</v>
      </c>
      <c r="AR59" s="6">
        <v>6</v>
      </c>
      <c r="AS59" s="6">
        <v>9</v>
      </c>
      <c r="BA59" s="6">
        <f t="shared" si="1"/>
        <v>24</v>
      </c>
      <c r="BB59" s="2"/>
      <c r="BC59" s="2"/>
      <c r="BD59" s="10">
        <v>24</v>
      </c>
      <c r="BE59" s="2" t="b">
        <f t="shared" si="5"/>
        <v>1</v>
      </c>
      <c r="BF59" s="10">
        <v>24</v>
      </c>
      <c r="BG59" s="2" t="b">
        <f t="shared" si="2"/>
        <v>1</v>
      </c>
      <c r="BH59" s="10">
        <v>24</v>
      </c>
      <c r="BI59" s="2" t="b">
        <f t="shared" si="3"/>
        <v>1</v>
      </c>
      <c r="BJ59" s="10">
        <v>24</v>
      </c>
      <c r="BK59" s="2" t="b">
        <f t="shared" si="4"/>
        <v>1</v>
      </c>
      <c r="BL59" s="2"/>
    </row>
    <row r="60" spans="1:64" x14ac:dyDescent="0.2">
      <c r="A60" s="2" t="s">
        <v>288</v>
      </c>
      <c r="B60" s="5" t="s">
        <v>204</v>
      </c>
      <c r="C60" s="2">
        <v>0</v>
      </c>
      <c r="D60" s="5" t="s">
        <v>50</v>
      </c>
      <c r="E60" s="2">
        <v>0</v>
      </c>
      <c r="F60" s="5" t="s">
        <v>16</v>
      </c>
      <c r="G60" s="2">
        <v>0</v>
      </c>
      <c r="AB60" s="4" t="s">
        <v>22</v>
      </c>
      <c r="AC60" s="2" t="b">
        <f t="shared" si="0"/>
        <v>0</v>
      </c>
      <c r="AE60" s="2">
        <f>(+C60)</f>
        <v>0</v>
      </c>
      <c r="AF60" s="2">
        <f>(+C60+E60+G60)</f>
        <v>0</v>
      </c>
      <c r="AG60" s="2">
        <f>(+E60+G60)</f>
        <v>0</v>
      </c>
      <c r="AH60" s="2">
        <f>(+C60+E60+G60)</f>
        <v>0</v>
      </c>
      <c r="AI60" s="2">
        <f>(+C60+G60)</f>
        <v>0</v>
      </c>
      <c r="AO60" s="4" t="s">
        <v>22</v>
      </c>
      <c r="AP60" s="2">
        <v>8</v>
      </c>
      <c r="AQ60" s="2">
        <v>43</v>
      </c>
      <c r="AR60" s="2">
        <v>35</v>
      </c>
      <c r="AS60" s="2">
        <v>43</v>
      </c>
      <c r="AT60" s="2">
        <v>27</v>
      </c>
      <c r="BA60" s="2">
        <f t="shared" si="1"/>
        <v>0</v>
      </c>
      <c r="BD60" s="10">
        <v>43</v>
      </c>
      <c r="BE60" s="2" t="b">
        <f t="shared" si="5"/>
        <v>0</v>
      </c>
      <c r="BF60" s="10">
        <v>43</v>
      </c>
      <c r="BG60" s="2" t="b">
        <f t="shared" si="2"/>
        <v>1</v>
      </c>
      <c r="BH60" s="10">
        <v>43</v>
      </c>
      <c r="BI60" s="2" t="b">
        <f t="shared" si="3"/>
        <v>1</v>
      </c>
      <c r="BJ60" s="10">
        <v>43</v>
      </c>
      <c r="BK60" s="2" t="b">
        <f t="shared" si="4"/>
        <v>1</v>
      </c>
    </row>
    <row r="61" spans="1:64" x14ac:dyDescent="0.2">
      <c r="A61" s="2" t="s">
        <v>289</v>
      </c>
      <c r="B61" s="5" t="s">
        <v>290</v>
      </c>
      <c r="C61" s="2">
        <v>0</v>
      </c>
      <c r="D61" s="5" t="s">
        <v>32</v>
      </c>
      <c r="E61" s="2">
        <v>0</v>
      </c>
      <c r="F61" s="5" t="s">
        <v>118</v>
      </c>
      <c r="G61" s="2">
        <v>0</v>
      </c>
      <c r="H61" s="5" t="s">
        <v>291</v>
      </c>
      <c r="I61" s="2">
        <v>0</v>
      </c>
      <c r="J61" s="5" t="s">
        <v>292</v>
      </c>
      <c r="K61" s="2">
        <v>0</v>
      </c>
      <c r="L61" s="5" t="s">
        <v>44</v>
      </c>
      <c r="M61" s="2">
        <v>0</v>
      </c>
      <c r="N61" s="5" t="s">
        <v>293</v>
      </c>
      <c r="O61" s="2">
        <v>0</v>
      </c>
      <c r="P61" s="5" t="s">
        <v>294</v>
      </c>
      <c r="Q61" s="2">
        <v>0</v>
      </c>
      <c r="R61" s="5" t="s">
        <v>156</v>
      </c>
      <c r="S61" s="2">
        <v>0</v>
      </c>
      <c r="AB61" s="4" t="s">
        <v>22</v>
      </c>
      <c r="AC61" s="2" t="b">
        <f t="shared" si="0"/>
        <v>0</v>
      </c>
      <c r="AE61" s="2">
        <f>(+E61+I61+K61+S61)</f>
        <v>0</v>
      </c>
      <c r="AF61" s="2">
        <f>(+C61+G61+K61+O61)</f>
        <v>0</v>
      </c>
      <c r="AG61" s="2">
        <f>(+K61+Q61+S61)</f>
        <v>0</v>
      </c>
      <c r="AH61" s="2">
        <f>(+G61+K61+O61)</f>
        <v>0</v>
      </c>
      <c r="AI61" s="2">
        <f>(+C61+G61+I61+M61+O61)</f>
        <v>0</v>
      </c>
      <c r="AJ61" s="2">
        <f>(+C61+I61+K61+M61+O61)</f>
        <v>0</v>
      </c>
      <c r="AK61" s="2">
        <f>(+E61+K61+O61+Q61)</f>
        <v>0</v>
      </c>
      <c r="AL61" s="2">
        <f>(+I61+K61+S61)</f>
        <v>0</v>
      </c>
      <c r="AM61" s="2">
        <f>(+K61+O61+Q61)</f>
        <v>0</v>
      </c>
      <c r="AO61" s="4" t="s">
        <v>22</v>
      </c>
      <c r="AP61" s="2">
        <v>33</v>
      </c>
      <c r="AQ61" s="2">
        <v>48</v>
      </c>
      <c r="AR61" s="2">
        <v>21</v>
      </c>
      <c r="AS61" s="2">
        <v>30</v>
      </c>
      <c r="AT61" s="2">
        <v>51</v>
      </c>
      <c r="AU61" s="2">
        <v>64</v>
      </c>
      <c r="AV61" s="2">
        <v>38</v>
      </c>
      <c r="AW61" s="2">
        <v>23</v>
      </c>
      <c r="AX61" s="2">
        <v>28</v>
      </c>
      <c r="BA61" s="2">
        <f t="shared" si="1"/>
        <v>0</v>
      </c>
      <c r="BD61" s="10">
        <v>0</v>
      </c>
      <c r="BE61" s="2" t="b">
        <f t="shared" si="5"/>
        <v>0</v>
      </c>
      <c r="BF61" s="10">
        <v>0</v>
      </c>
      <c r="BG61" s="2" t="b">
        <f t="shared" si="2"/>
        <v>1</v>
      </c>
      <c r="BH61" s="10">
        <v>82</v>
      </c>
      <c r="BI61" s="2" t="b">
        <f t="shared" si="3"/>
        <v>0</v>
      </c>
      <c r="BJ61" s="10">
        <v>82</v>
      </c>
      <c r="BK61" s="2" t="b">
        <f t="shared" si="4"/>
        <v>1</v>
      </c>
    </row>
    <row r="62" spans="1:64" x14ac:dyDescent="0.2">
      <c r="A62" s="2" t="s">
        <v>295</v>
      </c>
      <c r="B62" s="5" t="s">
        <v>112</v>
      </c>
      <c r="C62" s="2">
        <v>0</v>
      </c>
      <c r="D62" s="5" t="s">
        <v>56</v>
      </c>
      <c r="E62" s="2">
        <v>0</v>
      </c>
      <c r="F62" s="5" t="s">
        <v>296</v>
      </c>
      <c r="G62" s="2">
        <v>0</v>
      </c>
      <c r="H62" s="5" t="s">
        <v>11</v>
      </c>
      <c r="I62" s="2">
        <v>0</v>
      </c>
      <c r="J62" s="5" t="s">
        <v>238</v>
      </c>
      <c r="K62" s="2">
        <v>0</v>
      </c>
      <c r="L62" s="5" t="s">
        <v>278</v>
      </c>
      <c r="M62" s="2">
        <v>0</v>
      </c>
      <c r="AB62" s="4" t="s">
        <v>22</v>
      </c>
      <c r="AC62" s="2" t="b">
        <f t="shared" si="0"/>
        <v>0</v>
      </c>
      <c r="AE62" s="2">
        <f>(+C62+G62+I62)</f>
        <v>0</v>
      </c>
      <c r="AF62" s="2">
        <f>(+I62+K62)</f>
        <v>0</v>
      </c>
      <c r="AG62" s="2">
        <f>(+C62+E62+K62)</f>
        <v>0</v>
      </c>
      <c r="AH62" s="2">
        <f>(+C62+G62)</f>
        <v>0</v>
      </c>
      <c r="AI62" s="2">
        <f>(+C62+K62+M62)</f>
        <v>0</v>
      </c>
      <c r="AJ62" s="2">
        <f>(+E62+G62+K62)</f>
        <v>0</v>
      </c>
      <c r="AK62" s="2">
        <f>(+C62+G62+K62+M62)</f>
        <v>0</v>
      </c>
      <c r="AO62" s="4" t="s">
        <v>22</v>
      </c>
      <c r="AP62" s="2">
        <v>22</v>
      </c>
      <c r="AQ62" s="2">
        <v>33</v>
      </c>
      <c r="AR62" s="2">
        <v>146</v>
      </c>
      <c r="AS62" s="2">
        <v>4</v>
      </c>
      <c r="AT62" s="2">
        <v>33</v>
      </c>
      <c r="AU62" s="2">
        <v>146</v>
      </c>
      <c r="AV62" s="2">
        <v>35</v>
      </c>
      <c r="BA62" s="2">
        <f t="shared" si="1"/>
        <v>0</v>
      </c>
      <c r="BD62" s="10">
        <v>0</v>
      </c>
      <c r="BE62" s="2" t="b">
        <f t="shared" si="5"/>
        <v>0</v>
      </c>
      <c r="BF62" s="10">
        <v>182</v>
      </c>
      <c r="BG62" s="2" t="b">
        <f t="shared" si="2"/>
        <v>0</v>
      </c>
      <c r="BH62" s="10">
        <v>182</v>
      </c>
      <c r="BI62" s="2" t="b">
        <f t="shared" si="3"/>
        <v>1</v>
      </c>
      <c r="BJ62" s="10">
        <v>182</v>
      </c>
      <c r="BK62" s="2" t="b">
        <f t="shared" si="4"/>
        <v>1</v>
      </c>
    </row>
    <row r="63" spans="1:64" x14ac:dyDescent="0.2">
      <c r="A63" s="2" t="s">
        <v>297</v>
      </c>
      <c r="B63" s="5" t="s">
        <v>21</v>
      </c>
      <c r="C63" s="2">
        <v>0</v>
      </c>
      <c r="D63" s="5" t="s">
        <v>48</v>
      </c>
      <c r="E63" s="2">
        <v>0</v>
      </c>
      <c r="F63" s="5" t="s">
        <v>43</v>
      </c>
      <c r="G63" s="2">
        <v>0</v>
      </c>
      <c r="H63" s="5" t="s">
        <v>58</v>
      </c>
      <c r="I63" s="2">
        <v>0</v>
      </c>
      <c r="J63" s="5" t="s">
        <v>27</v>
      </c>
      <c r="K63" s="2">
        <v>0</v>
      </c>
      <c r="L63" s="5" t="s">
        <v>97</v>
      </c>
      <c r="M63" s="2">
        <v>0</v>
      </c>
      <c r="N63" s="5" t="s">
        <v>38</v>
      </c>
      <c r="O63" s="2">
        <v>0</v>
      </c>
      <c r="P63" s="5" t="s">
        <v>11</v>
      </c>
      <c r="Q63" s="2">
        <v>0</v>
      </c>
      <c r="AB63" s="4" t="s">
        <v>22</v>
      </c>
      <c r="AC63" s="2" t="b">
        <f t="shared" si="0"/>
        <v>0</v>
      </c>
      <c r="AE63" s="2">
        <f>(+K63+Q63)</f>
        <v>0</v>
      </c>
      <c r="AF63" s="2">
        <f>(+C63+K63+O63+Q63)</f>
        <v>0</v>
      </c>
      <c r="AG63" s="2">
        <f>(+C63+G63+I63+K63+M63)</f>
        <v>0</v>
      </c>
      <c r="AH63" s="2">
        <f>(+E63+I63+K63+M63)</f>
        <v>0</v>
      </c>
      <c r="AI63" s="2">
        <f>(+G63+I63)</f>
        <v>0</v>
      </c>
      <c r="AJ63" s="2">
        <f>(+E63+G63+I63+M63)</f>
        <v>0</v>
      </c>
      <c r="AO63" s="4" t="s">
        <v>22</v>
      </c>
      <c r="AP63" s="2">
        <v>24</v>
      </c>
      <c r="AQ63" s="2">
        <v>60</v>
      </c>
      <c r="AR63" s="2">
        <v>69</v>
      </c>
      <c r="AS63" s="2">
        <v>34</v>
      </c>
      <c r="AT63" s="2">
        <v>27</v>
      </c>
      <c r="AU63" s="2">
        <v>39</v>
      </c>
      <c r="BA63" s="2">
        <f t="shared" si="1"/>
        <v>0</v>
      </c>
      <c r="BD63" s="10">
        <v>99</v>
      </c>
      <c r="BE63" s="2" t="b">
        <f t="shared" si="5"/>
        <v>0</v>
      </c>
      <c r="BF63" s="10">
        <v>99</v>
      </c>
      <c r="BG63" s="2" t="b">
        <f t="shared" si="2"/>
        <v>1</v>
      </c>
      <c r="BH63" s="10">
        <v>99</v>
      </c>
      <c r="BI63" s="2" t="b">
        <f t="shared" si="3"/>
        <v>1</v>
      </c>
      <c r="BJ63" s="10">
        <v>99</v>
      </c>
      <c r="BK63" s="2" t="b">
        <f t="shared" si="4"/>
        <v>1</v>
      </c>
    </row>
    <row r="64" spans="1:64" x14ac:dyDescent="0.2">
      <c r="A64" s="2" t="s">
        <v>298</v>
      </c>
      <c r="B64" s="5" t="s">
        <v>255</v>
      </c>
      <c r="C64" s="2">
        <v>0</v>
      </c>
      <c r="D64" s="5" t="s">
        <v>106</v>
      </c>
      <c r="E64" s="2">
        <v>0</v>
      </c>
      <c r="F64" s="5" t="s">
        <v>40</v>
      </c>
      <c r="G64" s="2">
        <v>0</v>
      </c>
      <c r="H64" s="5" t="s">
        <v>10</v>
      </c>
      <c r="I64" s="2">
        <v>0</v>
      </c>
      <c r="AB64" s="4" t="s">
        <v>22</v>
      </c>
      <c r="AC64" s="2" t="b">
        <f t="shared" si="0"/>
        <v>0</v>
      </c>
      <c r="AE64" s="2">
        <f>(+E64+G64+I64)</f>
        <v>0</v>
      </c>
      <c r="AF64" s="2">
        <f>(+C64)</f>
        <v>0</v>
      </c>
      <c r="AG64" s="2">
        <f>(+E64+G64+I64)</f>
        <v>0</v>
      </c>
      <c r="AH64" s="2">
        <f>(+C64+G64)</f>
        <v>0</v>
      </c>
      <c r="AI64" s="2">
        <f>(+E64)</f>
        <v>0</v>
      </c>
      <c r="AJ64" s="2">
        <f>(+C64)</f>
        <v>0</v>
      </c>
      <c r="AO64" s="4" t="s">
        <v>22</v>
      </c>
      <c r="AP64" s="2">
        <v>27</v>
      </c>
      <c r="AQ64" s="2">
        <v>16</v>
      </c>
      <c r="AR64" s="2">
        <v>27</v>
      </c>
      <c r="AS64" s="2">
        <v>18</v>
      </c>
      <c r="AT64" s="2">
        <v>19</v>
      </c>
      <c r="AU64" s="2">
        <v>16</v>
      </c>
      <c r="BA64" s="2">
        <f t="shared" si="1"/>
        <v>0</v>
      </c>
      <c r="BD64" s="10">
        <v>43</v>
      </c>
      <c r="BE64" s="2" t="b">
        <f t="shared" si="5"/>
        <v>0</v>
      </c>
      <c r="BF64" s="10">
        <v>43</v>
      </c>
      <c r="BG64" s="2" t="b">
        <f t="shared" si="2"/>
        <v>1</v>
      </c>
      <c r="BH64" s="10">
        <v>43</v>
      </c>
      <c r="BI64" s="2" t="b">
        <f t="shared" si="3"/>
        <v>1</v>
      </c>
      <c r="BJ64" s="10">
        <v>43</v>
      </c>
      <c r="BK64" s="2" t="b">
        <f t="shared" si="4"/>
        <v>1</v>
      </c>
    </row>
    <row r="65" spans="1:64" x14ac:dyDescent="0.2">
      <c r="A65" s="2" t="s">
        <v>299</v>
      </c>
      <c r="B65" s="5" t="s">
        <v>300</v>
      </c>
      <c r="C65" s="2">
        <v>0</v>
      </c>
      <c r="D65" s="5" t="s">
        <v>301</v>
      </c>
      <c r="E65" s="2">
        <v>0</v>
      </c>
      <c r="F65" s="5" t="s">
        <v>118</v>
      </c>
      <c r="G65" s="2">
        <v>0</v>
      </c>
      <c r="H65" s="5" t="s">
        <v>232</v>
      </c>
      <c r="I65" s="2">
        <v>0</v>
      </c>
      <c r="J65" s="5" t="s">
        <v>302</v>
      </c>
      <c r="K65" s="2">
        <v>0</v>
      </c>
      <c r="L65" s="5" t="s">
        <v>303</v>
      </c>
      <c r="M65" s="2">
        <v>0</v>
      </c>
      <c r="AB65" s="4" t="s">
        <v>22</v>
      </c>
      <c r="AC65" s="2" t="b">
        <f>AND(AE65=AP65,AF65=AQ65,AG65=AR65,AH65=AS65,AI65=AT65,AJ65=AU65,AK65=AV65,AL65=AW65,AM65=AX65,AN65=AY65)</f>
        <v>0</v>
      </c>
      <c r="AE65" s="2">
        <f>(+C65+E65+M65)</f>
        <v>0</v>
      </c>
      <c r="AF65" s="2">
        <f>(+E65+G65)</f>
        <v>0</v>
      </c>
      <c r="AG65" s="2">
        <f>(+C65+I65+M65)</f>
        <v>0</v>
      </c>
      <c r="AH65" s="2">
        <f>(+G65)</f>
        <v>0</v>
      </c>
      <c r="AI65" s="2">
        <f>(+C65+G65+I65)</f>
        <v>0</v>
      </c>
      <c r="AJ65" s="2">
        <f>(+C65+K65)</f>
        <v>0</v>
      </c>
      <c r="AK65" s="2">
        <f>(+C65+I65+K65+M65)</f>
        <v>0</v>
      </c>
      <c r="AL65" s="2">
        <f>(+C65+E65)</f>
        <v>0</v>
      </c>
      <c r="AO65" s="4" t="s">
        <v>22</v>
      </c>
      <c r="AP65" s="2">
        <v>28</v>
      </c>
      <c r="AQ65" s="2">
        <v>28</v>
      </c>
      <c r="AR65" s="2">
        <v>21</v>
      </c>
      <c r="AS65" s="2">
        <v>10</v>
      </c>
      <c r="AT65" s="2">
        <v>29</v>
      </c>
      <c r="AU65" s="2">
        <v>9</v>
      </c>
      <c r="AV65" s="2">
        <v>22</v>
      </c>
      <c r="AW65" s="2">
        <v>26</v>
      </c>
      <c r="BA65" s="2">
        <f t="shared" ref="BA65" si="6">SUM(B65:AA65)</f>
        <v>0</v>
      </c>
      <c r="BD65" s="10">
        <v>50</v>
      </c>
      <c r="BE65" s="2" t="b">
        <f t="shared" si="5"/>
        <v>0</v>
      </c>
      <c r="BF65" s="10">
        <v>50</v>
      </c>
      <c r="BG65" s="2" t="b">
        <f t="shared" si="2"/>
        <v>1</v>
      </c>
      <c r="BH65" s="10">
        <v>50</v>
      </c>
      <c r="BI65" s="2" t="b">
        <f t="shared" si="3"/>
        <v>1</v>
      </c>
      <c r="BJ65" s="10">
        <v>50</v>
      </c>
      <c r="BK65" s="2" t="b">
        <f t="shared" si="4"/>
        <v>1</v>
      </c>
    </row>
    <row r="66" spans="1:64" s="6" customFormat="1" x14ac:dyDescent="0.2">
      <c r="A66" s="6" t="s">
        <v>304</v>
      </c>
      <c r="B66" s="7" t="s">
        <v>15</v>
      </c>
      <c r="C66" s="6">
        <v>7</v>
      </c>
      <c r="D66" s="7" t="s">
        <v>40</v>
      </c>
      <c r="E66" s="6">
        <v>1</v>
      </c>
      <c r="F66" s="7" t="s">
        <v>9</v>
      </c>
      <c r="G66" s="6">
        <v>17</v>
      </c>
      <c r="H66" s="7"/>
      <c r="J66" s="7"/>
      <c r="L66" s="7"/>
      <c r="N66" s="7"/>
      <c r="P66" s="7"/>
      <c r="R66" s="7"/>
      <c r="T66" s="7"/>
      <c r="V66" s="7"/>
      <c r="X66" s="7"/>
      <c r="Z66" s="7"/>
      <c r="AB66" s="6" t="s">
        <v>22</v>
      </c>
      <c r="AC66" s="2" t="b">
        <f>AND(AE66=AP66,AF66=AQ66,AG66=AR66,AH66=AS66,AI66=AT66,AJ66=AU66,AK66=AV66,AL66=AW66,AM66=AX66,AN66=AY66)</f>
        <v>1</v>
      </c>
      <c r="AE66" s="6">
        <f>(+C66+E66)</f>
        <v>8</v>
      </c>
      <c r="AF66" s="6">
        <f>(+C66)</f>
        <v>7</v>
      </c>
      <c r="AG66" s="6">
        <f>(+C66+E66+G66)</f>
        <v>25</v>
      </c>
      <c r="AH66" s="6">
        <f>(+E66+G66)</f>
        <v>18</v>
      </c>
      <c r="AO66" s="6" t="s">
        <v>22</v>
      </c>
      <c r="AP66" s="6">
        <v>8</v>
      </c>
      <c r="AQ66" s="6">
        <v>7</v>
      </c>
      <c r="AR66" s="6">
        <v>25</v>
      </c>
      <c r="AS66" s="6">
        <v>18</v>
      </c>
      <c r="BA66" s="6">
        <f>SUM(B66:AA66)</f>
        <v>25</v>
      </c>
      <c r="BB66" s="2"/>
      <c r="BC66" s="2"/>
      <c r="BD66" s="10">
        <v>25</v>
      </c>
      <c r="BE66" s="2" t="b">
        <f t="shared" si="5"/>
        <v>1</v>
      </c>
      <c r="BF66" s="10">
        <v>25</v>
      </c>
      <c r="BG66" s="2" t="b">
        <f t="shared" ref="BG66:BG129" si="7">BD66=BF66</f>
        <v>1</v>
      </c>
      <c r="BH66" s="10">
        <v>25</v>
      </c>
      <c r="BI66" s="2" t="b">
        <f t="shared" ref="BI66:BI129" si="8">BF66=BH66</f>
        <v>1</v>
      </c>
      <c r="BJ66" s="10">
        <v>25</v>
      </c>
      <c r="BK66" s="2" t="b">
        <f t="shared" ref="BK66:BK129" si="9">BH66=BJ66</f>
        <v>1</v>
      </c>
      <c r="BL66" s="2"/>
    </row>
    <row r="67" spans="1:64" x14ac:dyDescent="0.2">
      <c r="A67" s="2" t="s">
        <v>305</v>
      </c>
      <c r="B67" s="5" t="s">
        <v>100</v>
      </c>
      <c r="C67" s="2">
        <v>0</v>
      </c>
      <c r="D67" s="5" t="s">
        <v>9</v>
      </c>
      <c r="E67" s="2">
        <v>0</v>
      </c>
      <c r="F67" s="5" t="s">
        <v>87</v>
      </c>
      <c r="G67" s="2">
        <v>0</v>
      </c>
      <c r="H67" s="5" t="s">
        <v>306</v>
      </c>
      <c r="I67" s="2">
        <v>0</v>
      </c>
      <c r="J67" s="5" t="s">
        <v>307</v>
      </c>
      <c r="K67" s="2">
        <v>0</v>
      </c>
      <c r="AB67" s="4" t="s">
        <v>22</v>
      </c>
      <c r="AC67" s="2" t="b">
        <f t="shared" ref="AC67:AC130" si="10">AND(AE67=AP67,AF67=AQ67,AG67=AR67,AH67=AS67,AI67=AT67,AJ67=AU67,AK67=AV67,AL67=AW67,AM67=AX67,AN67=AY67)</f>
        <v>0</v>
      </c>
      <c r="AE67" s="2">
        <f>(+C67+I67)</f>
        <v>0</v>
      </c>
      <c r="AF67" s="2">
        <f>(+G67)</f>
        <v>0</v>
      </c>
      <c r="AG67" s="2">
        <f>(+E67+I67+K67)</f>
        <v>0</v>
      </c>
      <c r="AH67" s="2">
        <f>(+C67+E67+G67+K67)</f>
        <v>0</v>
      </c>
      <c r="AI67" s="2">
        <f>(+C67+I67+K67)</f>
        <v>0</v>
      </c>
      <c r="AJ67" s="2">
        <f>(+C67+I67)</f>
        <v>0</v>
      </c>
      <c r="AK67" s="2">
        <f>(+C67+G67+I67+K67)</f>
        <v>0</v>
      </c>
      <c r="AO67" s="4" t="s">
        <v>22</v>
      </c>
      <c r="AP67" s="2">
        <v>26</v>
      </c>
      <c r="AQ67" s="2">
        <v>1</v>
      </c>
      <c r="AR67" s="2">
        <v>170</v>
      </c>
      <c r="AS67" s="2">
        <v>183</v>
      </c>
      <c r="AT67" s="2">
        <v>41</v>
      </c>
      <c r="AU67" s="2">
        <v>26</v>
      </c>
      <c r="AV67" s="2">
        <v>42</v>
      </c>
      <c r="BA67" s="2">
        <f t="shared" ref="BA67:BA130" si="11">SUM(B67:AA67)</f>
        <v>0</v>
      </c>
      <c r="BD67" s="10">
        <v>190</v>
      </c>
      <c r="BE67" s="2" t="b">
        <f t="shared" ref="BE67:BE130" si="12">AND(BD67=BA67,BD67&lt;&gt;0)</f>
        <v>0</v>
      </c>
      <c r="BF67" s="10">
        <v>190</v>
      </c>
      <c r="BG67" s="2" t="b">
        <f t="shared" si="7"/>
        <v>1</v>
      </c>
      <c r="BH67" s="10">
        <v>190</v>
      </c>
      <c r="BI67" s="2" t="b">
        <f t="shared" si="8"/>
        <v>1</v>
      </c>
      <c r="BJ67" s="10">
        <v>190</v>
      </c>
      <c r="BK67" s="2" t="b">
        <f t="shared" si="9"/>
        <v>1</v>
      </c>
    </row>
    <row r="68" spans="1:64" s="6" customFormat="1" x14ac:dyDescent="0.2">
      <c r="A68" s="6" t="s">
        <v>308</v>
      </c>
      <c r="B68" s="7" t="s">
        <v>309</v>
      </c>
      <c r="C68" s="6">
        <v>4</v>
      </c>
      <c r="D68" s="7" t="s">
        <v>45</v>
      </c>
      <c r="E68" s="6">
        <v>12</v>
      </c>
      <c r="F68" s="7" t="s">
        <v>310</v>
      </c>
      <c r="G68" s="6">
        <v>0</v>
      </c>
      <c r="H68" s="7" t="s">
        <v>87</v>
      </c>
      <c r="I68" s="6">
        <v>15</v>
      </c>
      <c r="J68" s="7" t="s">
        <v>111</v>
      </c>
      <c r="K68" s="6">
        <v>19</v>
      </c>
      <c r="L68" s="7"/>
      <c r="N68" s="7"/>
      <c r="P68" s="7"/>
      <c r="R68" s="7"/>
      <c r="T68" s="7"/>
      <c r="V68" s="7"/>
      <c r="X68" s="7"/>
      <c r="Z68" s="7"/>
      <c r="AB68" s="6" t="s">
        <v>22</v>
      </c>
      <c r="AC68" s="6" t="b">
        <f t="shared" si="10"/>
        <v>1</v>
      </c>
      <c r="AE68" s="6">
        <f>(+E68)</f>
        <v>12</v>
      </c>
      <c r="AF68" s="6">
        <f>(+G68+I68+K68)</f>
        <v>34</v>
      </c>
      <c r="AG68" s="6">
        <f>(+C68+G68)</f>
        <v>4</v>
      </c>
      <c r="AH68" s="6">
        <f>(+C68+I68+K68)</f>
        <v>38</v>
      </c>
      <c r="AI68" s="6">
        <f>(+K68)</f>
        <v>19</v>
      </c>
      <c r="AJ68" s="6">
        <f>(+C68+E68+G68+K68)</f>
        <v>35</v>
      </c>
      <c r="AK68" s="6">
        <f>(+C68+G68+I68+K68)</f>
        <v>38</v>
      </c>
      <c r="AO68" s="6" t="s">
        <v>22</v>
      </c>
      <c r="AP68" s="6">
        <v>12</v>
      </c>
      <c r="AQ68" s="6">
        <v>34</v>
      </c>
      <c r="AR68" s="6">
        <v>4</v>
      </c>
      <c r="AS68" s="6">
        <v>38</v>
      </c>
      <c r="AT68" s="6">
        <v>19</v>
      </c>
      <c r="AU68" s="6">
        <v>35</v>
      </c>
      <c r="AV68" s="6">
        <v>38</v>
      </c>
      <c r="BA68" s="6">
        <f t="shared" si="11"/>
        <v>50</v>
      </c>
      <c r="BB68" s="2"/>
      <c r="BC68" s="2"/>
      <c r="BD68" s="10">
        <v>50</v>
      </c>
      <c r="BE68" s="2" t="b">
        <f t="shared" si="12"/>
        <v>1</v>
      </c>
      <c r="BF68" s="10">
        <v>50</v>
      </c>
      <c r="BG68" s="2" t="b">
        <f t="shared" si="7"/>
        <v>1</v>
      </c>
      <c r="BH68" s="10">
        <v>50</v>
      </c>
      <c r="BI68" s="2" t="b">
        <f t="shared" si="8"/>
        <v>1</v>
      </c>
      <c r="BJ68" s="10">
        <v>50</v>
      </c>
      <c r="BK68" s="2" t="b">
        <f t="shared" si="9"/>
        <v>1</v>
      </c>
      <c r="BL68" s="2"/>
    </row>
    <row r="69" spans="1:64" x14ac:dyDescent="0.2">
      <c r="A69" s="2" t="s">
        <v>311</v>
      </c>
      <c r="B69" s="5" t="s">
        <v>133</v>
      </c>
      <c r="C69" s="2">
        <v>0</v>
      </c>
      <c r="D69" s="5" t="s">
        <v>312</v>
      </c>
      <c r="E69" s="2">
        <v>0</v>
      </c>
      <c r="F69" s="5" t="s">
        <v>313</v>
      </c>
      <c r="G69" s="2">
        <v>0</v>
      </c>
      <c r="H69" s="5" t="s">
        <v>314</v>
      </c>
      <c r="I69" s="2">
        <v>0</v>
      </c>
      <c r="J69" s="5" t="s">
        <v>315</v>
      </c>
      <c r="K69" s="2">
        <v>0</v>
      </c>
      <c r="L69" s="5" t="s">
        <v>316</v>
      </c>
      <c r="M69" s="2">
        <v>0</v>
      </c>
      <c r="N69" s="5" t="s">
        <v>79</v>
      </c>
      <c r="O69" s="2">
        <v>0</v>
      </c>
      <c r="P69" s="5" t="s">
        <v>204</v>
      </c>
      <c r="Q69" s="2">
        <v>0</v>
      </c>
      <c r="AB69" s="4" t="s">
        <v>22</v>
      </c>
      <c r="AC69" s="2" t="b">
        <f t="shared" si="10"/>
        <v>0</v>
      </c>
      <c r="AE69" s="2">
        <f>(+C69+G69+K69+M69+O69+Q69)</f>
        <v>0</v>
      </c>
      <c r="AF69" s="2">
        <f>(+C69+E69+I69+M69+Q69)</f>
        <v>0</v>
      </c>
      <c r="AG69" s="2">
        <f>(+C69+G69+I69+M69)</f>
        <v>0</v>
      </c>
      <c r="AH69" s="2">
        <f>(+C69+O69+Q69)</f>
        <v>0</v>
      </c>
      <c r="AI69" s="2">
        <f>(+C69+E69+G69+M69+O69+Q69)</f>
        <v>0</v>
      </c>
      <c r="AJ69" s="2">
        <f>(+E69+G69+K69+M69)</f>
        <v>0</v>
      </c>
      <c r="AK69" s="2">
        <f>(+C69+G69+I69+M69+O69)</f>
        <v>0</v>
      </c>
      <c r="AL69" s="2">
        <f>(+E69+G69+I69+M69)</f>
        <v>0</v>
      </c>
      <c r="AM69" s="2">
        <f>(+E69+G69+I69+K69+M69)</f>
        <v>0</v>
      </c>
      <c r="AN69" s="2">
        <f>(+E69+M69+O69)</f>
        <v>0</v>
      </c>
      <c r="AO69" s="4" t="s">
        <v>22</v>
      </c>
      <c r="AP69" s="2">
        <v>40</v>
      </c>
      <c r="AQ69" s="2">
        <v>35</v>
      </c>
      <c r="AR69" s="2">
        <v>22</v>
      </c>
      <c r="AS69" s="2">
        <v>21</v>
      </c>
      <c r="AT69" s="2">
        <v>28</v>
      </c>
      <c r="AU69" s="2">
        <v>22</v>
      </c>
      <c r="AV69" s="2">
        <v>26</v>
      </c>
      <c r="AW69" s="2">
        <v>19</v>
      </c>
      <c r="AX69" s="2">
        <v>34</v>
      </c>
      <c r="AY69" s="2">
        <v>10</v>
      </c>
      <c r="BA69" s="2">
        <f t="shared" si="11"/>
        <v>0</v>
      </c>
      <c r="BD69" s="10">
        <v>0</v>
      </c>
      <c r="BE69" s="2" t="b">
        <f t="shared" si="12"/>
        <v>0</v>
      </c>
      <c r="BF69" s="10">
        <v>0</v>
      </c>
      <c r="BG69" s="2" t="b">
        <f t="shared" si="7"/>
        <v>1</v>
      </c>
      <c r="BH69" s="10">
        <v>0</v>
      </c>
      <c r="BI69" s="2" t="b">
        <f t="shared" si="8"/>
        <v>1</v>
      </c>
      <c r="BJ69" s="10">
        <v>55</v>
      </c>
      <c r="BK69" s="2" t="b">
        <f t="shared" si="9"/>
        <v>0</v>
      </c>
    </row>
    <row r="70" spans="1:64" x14ac:dyDescent="0.2">
      <c r="A70" s="2" t="s">
        <v>317</v>
      </c>
      <c r="B70" s="5" t="s">
        <v>187</v>
      </c>
      <c r="C70" s="2">
        <v>0</v>
      </c>
      <c r="D70" s="5" t="s">
        <v>197</v>
      </c>
      <c r="E70" s="2">
        <v>0</v>
      </c>
      <c r="F70" s="5" t="s">
        <v>188</v>
      </c>
      <c r="G70" s="2">
        <v>0</v>
      </c>
      <c r="H70" s="5" t="s">
        <v>32</v>
      </c>
      <c r="I70" s="2">
        <v>0</v>
      </c>
      <c r="J70" s="5" t="s">
        <v>204</v>
      </c>
      <c r="K70" s="2">
        <v>0</v>
      </c>
      <c r="L70" s="5" t="s">
        <v>318</v>
      </c>
      <c r="M70" s="2">
        <v>0</v>
      </c>
      <c r="N70" s="5" t="s">
        <v>177</v>
      </c>
      <c r="O70" s="2">
        <v>0</v>
      </c>
      <c r="P70" s="5" t="s">
        <v>91</v>
      </c>
      <c r="Q70" s="2">
        <v>0</v>
      </c>
      <c r="R70" s="5" t="s">
        <v>176</v>
      </c>
      <c r="S70" s="2">
        <v>0</v>
      </c>
      <c r="T70" s="5" t="s">
        <v>86</v>
      </c>
      <c r="U70" s="2">
        <v>0</v>
      </c>
      <c r="AB70" s="4" t="s">
        <v>22</v>
      </c>
      <c r="AC70" s="2" t="b">
        <f t="shared" si="10"/>
        <v>0</v>
      </c>
      <c r="AE70" s="2">
        <f>(+E70+I70+K70+O70+Q70+U70)</f>
        <v>0</v>
      </c>
      <c r="AF70" s="2">
        <f>(+K70+M70+O70+S70+U70)</f>
        <v>0</v>
      </c>
      <c r="AG70" s="2">
        <f>(+C70+E70+M70+S70+U70)</f>
        <v>0</v>
      </c>
      <c r="AH70" s="2">
        <f>(+C70+E70+G70+K70+M70+O70+S70)</f>
        <v>0</v>
      </c>
      <c r="AI70" s="2">
        <f>(+C70+G70+K70+M70+O70+U70)</f>
        <v>0</v>
      </c>
      <c r="AJ70" s="2">
        <f>(+C70+G70+O70+Q70+S70+U70)</f>
        <v>0</v>
      </c>
      <c r="AK70" s="2">
        <f>(+I70+O70+Q70+S70+U70)</f>
        <v>0</v>
      </c>
      <c r="AL70" s="2">
        <f>(+C70+E70+G70+M70+S70+U70)</f>
        <v>0</v>
      </c>
      <c r="AO70" s="4" t="s">
        <v>22</v>
      </c>
      <c r="AP70" s="2">
        <v>47</v>
      </c>
      <c r="AQ70" s="2">
        <v>46</v>
      </c>
      <c r="AR70" s="2">
        <v>61</v>
      </c>
      <c r="AS70" s="2">
        <v>74</v>
      </c>
      <c r="AT70" s="2">
        <v>63</v>
      </c>
      <c r="AU70" s="2">
        <v>63</v>
      </c>
      <c r="AV70" s="2">
        <v>39</v>
      </c>
      <c r="AW70" s="2">
        <v>67</v>
      </c>
      <c r="BA70" s="2">
        <f t="shared" si="11"/>
        <v>0</v>
      </c>
      <c r="BD70" s="10">
        <v>0</v>
      </c>
      <c r="BE70" s="2" t="b">
        <f t="shared" si="12"/>
        <v>0</v>
      </c>
      <c r="BF70" s="10">
        <v>0</v>
      </c>
      <c r="BG70" s="2" t="b">
        <f t="shared" si="7"/>
        <v>1</v>
      </c>
      <c r="BH70" s="10">
        <v>0</v>
      </c>
      <c r="BI70" s="2" t="b">
        <f t="shared" si="8"/>
        <v>1</v>
      </c>
      <c r="BJ70" s="10">
        <v>87</v>
      </c>
      <c r="BK70" s="2" t="b">
        <f t="shared" si="9"/>
        <v>0</v>
      </c>
    </row>
    <row r="71" spans="1:64" x14ac:dyDescent="0.2">
      <c r="A71" s="2" t="s">
        <v>319</v>
      </c>
      <c r="B71" s="5" t="s">
        <v>11</v>
      </c>
      <c r="C71" s="2">
        <v>0</v>
      </c>
      <c r="D71" s="5" t="s">
        <v>34</v>
      </c>
      <c r="E71" s="2">
        <v>0</v>
      </c>
      <c r="F71" s="5" t="s">
        <v>306</v>
      </c>
      <c r="G71" s="2">
        <v>0</v>
      </c>
      <c r="H71" s="5" t="s">
        <v>44</v>
      </c>
      <c r="I71" s="2">
        <v>0</v>
      </c>
      <c r="J71" s="5" t="s">
        <v>92</v>
      </c>
      <c r="K71" s="2">
        <v>0</v>
      </c>
      <c r="L71" s="5" t="s">
        <v>15</v>
      </c>
      <c r="M71" s="2">
        <v>0</v>
      </c>
      <c r="AB71" s="4" t="s">
        <v>22</v>
      </c>
      <c r="AC71" s="2" t="b">
        <f t="shared" si="10"/>
        <v>0</v>
      </c>
      <c r="AE71" s="2">
        <f>(+C71+E71+G71+K71+M71)</f>
        <v>0</v>
      </c>
      <c r="AF71" s="2">
        <f>(+C71+K71+M71)</f>
        <v>0</v>
      </c>
      <c r="AG71" s="2">
        <f>(+E71+G71+M71)</f>
        <v>0</v>
      </c>
      <c r="AH71" s="2">
        <f>(+E71+K71)</f>
        <v>0</v>
      </c>
      <c r="AI71" s="2">
        <f>(+E71+G71+I71)</f>
        <v>0</v>
      </c>
      <c r="AJ71" s="2">
        <f>(+E71+G71+I71)</f>
        <v>0</v>
      </c>
      <c r="AK71" s="2">
        <f>(+G71+K71)</f>
        <v>0</v>
      </c>
      <c r="AO71" s="4" t="s">
        <v>22</v>
      </c>
      <c r="AP71" s="2">
        <v>246</v>
      </c>
      <c r="AQ71" s="2">
        <v>210</v>
      </c>
      <c r="AR71" s="2">
        <v>50</v>
      </c>
      <c r="AS71" s="2">
        <v>201</v>
      </c>
      <c r="AT71" s="2">
        <v>52</v>
      </c>
      <c r="AU71" s="2">
        <v>52</v>
      </c>
      <c r="AV71" s="2">
        <v>203</v>
      </c>
      <c r="BA71" s="2">
        <f t="shared" si="11"/>
        <v>0</v>
      </c>
      <c r="BD71" s="10">
        <v>262</v>
      </c>
      <c r="BE71" s="2" t="b">
        <f t="shared" si="12"/>
        <v>0</v>
      </c>
      <c r="BF71" s="10">
        <v>262</v>
      </c>
      <c r="BG71" s="2" t="b">
        <f t="shared" si="7"/>
        <v>1</v>
      </c>
      <c r="BH71" s="10">
        <v>262</v>
      </c>
      <c r="BI71" s="2" t="b">
        <f t="shared" si="8"/>
        <v>1</v>
      </c>
      <c r="BJ71" s="10">
        <v>262</v>
      </c>
      <c r="BK71" s="2" t="b">
        <f t="shared" si="9"/>
        <v>1</v>
      </c>
    </row>
    <row r="72" spans="1:64" x14ac:dyDescent="0.2">
      <c r="A72" s="2" t="s">
        <v>320</v>
      </c>
      <c r="B72" s="5" t="s">
        <v>321</v>
      </c>
      <c r="C72" s="2">
        <v>0</v>
      </c>
      <c r="D72" s="5" t="s">
        <v>48</v>
      </c>
      <c r="E72" s="2">
        <v>0</v>
      </c>
      <c r="F72" s="5" t="s">
        <v>322</v>
      </c>
      <c r="G72" s="2">
        <v>0</v>
      </c>
      <c r="H72" s="5" t="s">
        <v>323</v>
      </c>
      <c r="I72" s="2">
        <v>0</v>
      </c>
      <c r="J72" s="5" t="s">
        <v>10</v>
      </c>
      <c r="K72" s="2">
        <v>0</v>
      </c>
      <c r="L72" s="5" t="s">
        <v>179</v>
      </c>
      <c r="M72" s="2">
        <v>0</v>
      </c>
      <c r="N72" s="5" t="s">
        <v>324</v>
      </c>
      <c r="O72" s="2">
        <v>0</v>
      </c>
      <c r="P72" s="5" t="s">
        <v>325</v>
      </c>
      <c r="Q72" s="2">
        <v>0</v>
      </c>
      <c r="R72" s="5" t="s">
        <v>326</v>
      </c>
      <c r="S72" s="2">
        <v>0</v>
      </c>
      <c r="AB72" s="4" t="s">
        <v>22</v>
      </c>
      <c r="AC72" s="2" t="b">
        <f t="shared" si="10"/>
        <v>0</v>
      </c>
      <c r="AE72" s="2">
        <f>(+C72+K72+M72+O72+Q72)</f>
        <v>0</v>
      </c>
      <c r="AF72" s="2">
        <f>(+C72+G72+M72+O72+Q72)</f>
        <v>0</v>
      </c>
      <c r="AG72" s="2">
        <f>(+K72+M72+O72)</f>
        <v>0</v>
      </c>
      <c r="AH72" s="2">
        <f>(+E72+G72+M72+Q72+S72)</f>
        <v>0</v>
      </c>
      <c r="AI72" s="2">
        <f>(+C72+I72+Q72)</f>
        <v>0</v>
      </c>
      <c r="AJ72" s="2">
        <f>(+C72+E72+M72+O72+Q72)</f>
        <v>0</v>
      </c>
      <c r="AK72" s="2">
        <f>(+I72+O72+Q72+S72)</f>
        <v>0</v>
      </c>
      <c r="AL72" s="2">
        <f>(+I72+M72)</f>
        <v>0</v>
      </c>
      <c r="AM72" s="2">
        <f>(+C72+G72+I72+O72+Q72+S72)</f>
        <v>0</v>
      </c>
      <c r="AO72" s="4" t="s">
        <v>22</v>
      </c>
      <c r="AP72" s="2">
        <v>33</v>
      </c>
      <c r="AQ72" s="2">
        <v>48</v>
      </c>
      <c r="AR72" s="2">
        <v>16</v>
      </c>
      <c r="AS72" s="2">
        <v>40</v>
      </c>
      <c r="AT72" s="2">
        <v>37</v>
      </c>
      <c r="AU72" s="2">
        <v>42</v>
      </c>
      <c r="AV72" s="2">
        <v>32</v>
      </c>
      <c r="AW72" s="2">
        <v>24</v>
      </c>
      <c r="AX72" s="2">
        <v>66</v>
      </c>
      <c r="BA72" s="2">
        <f t="shared" si="11"/>
        <v>0</v>
      </c>
      <c r="BD72" s="10">
        <v>87</v>
      </c>
      <c r="BE72" s="2" t="b">
        <f t="shared" si="12"/>
        <v>0</v>
      </c>
      <c r="BF72" s="10">
        <v>87</v>
      </c>
      <c r="BG72" s="2" t="b">
        <f t="shared" si="7"/>
        <v>1</v>
      </c>
      <c r="BH72" s="10">
        <v>87</v>
      </c>
      <c r="BI72" s="2" t="b">
        <f t="shared" si="8"/>
        <v>1</v>
      </c>
      <c r="BJ72" s="10">
        <v>87</v>
      </c>
      <c r="BK72" s="2" t="b">
        <f t="shared" si="9"/>
        <v>1</v>
      </c>
    </row>
    <row r="73" spans="1:64" x14ac:dyDescent="0.2">
      <c r="A73" s="2" t="s">
        <v>327</v>
      </c>
      <c r="B73" s="5" t="s">
        <v>328</v>
      </c>
      <c r="C73" s="2">
        <v>0</v>
      </c>
      <c r="D73" s="5" t="s">
        <v>81</v>
      </c>
      <c r="E73" s="2">
        <v>0</v>
      </c>
      <c r="F73" s="5" t="s">
        <v>329</v>
      </c>
      <c r="G73" s="2">
        <v>0</v>
      </c>
      <c r="H73" s="5" t="s">
        <v>330</v>
      </c>
      <c r="I73" s="2">
        <v>0</v>
      </c>
      <c r="J73" s="5" t="s">
        <v>176</v>
      </c>
      <c r="K73" s="2">
        <v>0</v>
      </c>
      <c r="L73" s="5" t="s">
        <v>331</v>
      </c>
      <c r="M73" s="2">
        <v>0</v>
      </c>
      <c r="N73" s="5" t="s">
        <v>332</v>
      </c>
      <c r="O73" s="2">
        <v>0</v>
      </c>
      <c r="P73" s="5" t="s">
        <v>285</v>
      </c>
      <c r="Q73" s="2">
        <v>0</v>
      </c>
      <c r="R73" s="5" t="s">
        <v>333</v>
      </c>
      <c r="S73" s="2">
        <v>0</v>
      </c>
      <c r="T73" s="5" t="s">
        <v>334</v>
      </c>
      <c r="U73" s="2">
        <v>0</v>
      </c>
      <c r="V73" s="5" t="s">
        <v>143</v>
      </c>
      <c r="W73" s="2">
        <v>0</v>
      </c>
      <c r="AB73" s="4" t="s">
        <v>22</v>
      </c>
      <c r="AC73" s="2" t="b">
        <f t="shared" si="10"/>
        <v>0</v>
      </c>
      <c r="AE73" s="2">
        <f>(+E73+I73+M73+O73+S73+U73+W73)</f>
        <v>0</v>
      </c>
      <c r="AF73" s="2">
        <f>(+E73+K73+Q73+U73)</f>
        <v>0</v>
      </c>
      <c r="AG73" s="2">
        <f>(+E73+G73+K73+Q73+S73+W73)</f>
        <v>0</v>
      </c>
      <c r="AH73" s="2">
        <f>(+E73+G73+K73+Q73+S73+U73+W73)</f>
        <v>0</v>
      </c>
      <c r="AI73" s="2">
        <f>(+E73+M73+Q73+W73)</f>
        <v>0</v>
      </c>
      <c r="AJ73" s="2">
        <f>(+K73+M73+O73+Q73+U73)</f>
        <v>0</v>
      </c>
      <c r="AK73" s="2">
        <f>(+C73+K73+M73+Q73+W73)</f>
        <v>0</v>
      </c>
      <c r="AL73" s="2">
        <f>(+E73+G73+I73+K73+O73+Q73+U73+W73)</f>
        <v>0</v>
      </c>
      <c r="AM73" s="2">
        <f>(+I73+M73+S73+U73)</f>
        <v>0</v>
      </c>
      <c r="AO73" s="4" t="s">
        <v>22</v>
      </c>
      <c r="AP73" s="2">
        <v>74</v>
      </c>
      <c r="AQ73" s="2">
        <v>56</v>
      </c>
      <c r="AR73" s="2">
        <v>77</v>
      </c>
      <c r="AS73" s="2">
        <v>96</v>
      </c>
      <c r="AT73" s="2">
        <v>42</v>
      </c>
      <c r="AU73" s="2">
        <v>43</v>
      </c>
      <c r="AV73" s="2">
        <v>58</v>
      </c>
      <c r="AW73" s="2">
        <v>97</v>
      </c>
      <c r="AX73" s="2">
        <v>39</v>
      </c>
      <c r="BA73" s="2">
        <f t="shared" si="11"/>
        <v>0</v>
      </c>
      <c r="BD73" s="10">
        <v>0</v>
      </c>
      <c r="BE73" s="2" t="b">
        <f t="shared" si="12"/>
        <v>0</v>
      </c>
      <c r="BF73" s="10">
        <v>0</v>
      </c>
      <c r="BG73" s="2" t="b">
        <f t="shared" si="7"/>
        <v>1</v>
      </c>
      <c r="BH73" s="10">
        <v>0</v>
      </c>
      <c r="BI73" s="2" t="b">
        <f t="shared" si="8"/>
        <v>1</v>
      </c>
      <c r="BJ73" s="10">
        <v>120</v>
      </c>
      <c r="BK73" s="2" t="b">
        <f t="shared" si="9"/>
        <v>0</v>
      </c>
      <c r="BL73" s="2">
        <v>120</v>
      </c>
    </row>
    <row r="74" spans="1:64" x14ac:dyDescent="0.2">
      <c r="A74" s="2" t="s">
        <v>335</v>
      </c>
      <c r="B74" s="5" t="s">
        <v>40</v>
      </c>
      <c r="C74" s="2">
        <v>0</v>
      </c>
      <c r="D74" s="5" t="s">
        <v>118</v>
      </c>
      <c r="E74" s="2">
        <v>0</v>
      </c>
      <c r="F74" s="5" t="s">
        <v>202</v>
      </c>
      <c r="G74" s="2">
        <v>0</v>
      </c>
      <c r="H74" s="5" t="s">
        <v>15</v>
      </c>
      <c r="I74" s="2">
        <v>0</v>
      </c>
      <c r="J74" s="5" t="s">
        <v>169</v>
      </c>
      <c r="K74" s="2">
        <v>0</v>
      </c>
      <c r="AB74" s="4" t="s">
        <v>22</v>
      </c>
      <c r="AC74" s="2" t="b">
        <f t="shared" si="10"/>
        <v>0</v>
      </c>
      <c r="AE74" s="2">
        <f>(+C74+I74)</f>
        <v>0</v>
      </c>
      <c r="AF74" s="2">
        <f>(+E74+G74+I74)</f>
        <v>0</v>
      </c>
      <c r="AG74" s="2">
        <f>(+C74+I74+K74)</f>
        <v>0</v>
      </c>
      <c r="AH74" s="2">
        <f>(+C74+E74+K74)</f>
        <v>0</v>
      </c>
      <c r="AI74" s="2">
        <f>(+E74+G74+K74)</f>
        <v>0</v>
      </c>
      <c r="AO74" s="4" t="s">
        <v>22</v>
      </c>
      <c r="AP74" s="2">
        <v>18</v>
      </c>
      <c r="AQ74" s="2">
        <v>43</v>
      </c>
      <c r="AR74" s="2">
        <v>25</v>
      </c>
      <c r="AS74" s="2">
        <v>38</v>
      </c>
      <c r="AT74" s="2">
        <v>45</v>
      </c>
      <c r="BA74" s="2">
        <f t="shared" si="11"/>
        <v>0</v>
      </c>
      <c r="BD74" s="10">
        <v>63</v>
      </c>
      <c r="BE74" s="2" t="b">
        <f t="shared" si="12"/>
        <v>0</v>
      </c>
      <c r="BF74" s="10">
        <v>63</v>
      </c>
      <c r="BG74" s="2" t="b">
        <f t="shared" si="7"/>
        <v>1</v>
      </c>
      <c r="BH74" s="10">
        <v>63</v>
      </c>
      <c r="BI74" s="2" t="b">
        <f t="shared" si="8"/>
        <v>1</v>
      </c>
      <c r="BJ74" s="10">
        <v>63</v>
      </c>
      <c r="BK74" s="2" t="b">
        <f t="shared" si="9"/>
        <v>1</v>
      </c>
    </row>
    <row r="75" spans="1:64" x14ac:dyDescent="0.2">
      <c r="A75" s="2" t="s">
        <v>336</v>
      </c>
      <c r="B75" s="5" t="s">
        <v>8</v>
      </c>
      <c r="C75" s="2">
        <v>0</v>
      </c>
      <c r="D75" s="5" t="s">
        <v>40</v>
      </c>
      <c r="E75" s="2">
        <v>0</v>
      </c>
      <c r="F75" s="5" t="s">
        <v>15</v>
      </c>
      <c r="G75" s="2">
        <v>0</v>
      </c>
      <c r="H75" s="5" t="s">
        <v>7</v>
      </c>
      <c r="I75" s="2">
        <v>0</v>
      </c>
      <c r="J75" s="5" t="s">
        <v>21</v>
      </c>
      <c r="K75" s="2">
        <v>0</v>
      </c>
      <c r="AB75" s="4" t="s">
        <v>22</v>
      </c>
      <c r="AC75" s="2" t="b">
        <f t="shared" si="10"/>
        <v>0</v>
      </c>
      <c r="AE75" s="2">
        <f>(+E75+G75)</f>
        <v>0</v>
      </c>
      <c r="AF75" s="2">
        <f>(+G75+I75+K75)</f>
        <v>0</v>
      </c>
      <c r="AG75" s="2">
        <f>(+C75+E75+G75+K75)</f>
        <v>0</v>
      </c>
      <c r="AH75" s="2">
        <f>(+E75+I75)</f>
        <v>0</v>
      </c>
      <c r="AO75" s="4" t="s">
        <v>22</v>
      </c>
      <c r="AP75" s="2">
        <v>15</v>
      </c>
      <c r="AQ75" s="2">
        <v>11</v>
      </c>
      <c r="AR75" s="2">
        <v>39</v>
      </c>
      <c r="AS75" s="2">
        <v>12</v>
      </c>
      <c r="BA75" s="2">
        <f t="shared" si="11"/>
        <v>0</v>
      </c>
      <c r="BD75" s="10">
        <v>0</v>
      </c>
      <c r="BE75" s="2" t="b">
        <f t="shared" si="12"/>
        <v>0</v>
      </c>
      <c r="BF75" s="10">
        <v>39</v>
      </c>
      <c r="BG75" s="2" t="b">
        <f t="shared" si="7"/>
        <v>0</v>
      </c>
      <c r="BH75" s="10">
        <v>39</v>
      </c>
      <c r="BI75" s="2" t="b">
        <f t="shared" si="8"/>
        <v>1</v>
      </c>
      <c r="BJ75" s="10">
        <v>39</v>
      </c>
      <c r="BK75" s="2" t="b">
        <f t="shared" si="9"/>
        <v>1</v>
      </c>
    </row>
    <row r="76" spans="1:64" x14ac:dyDescent="0.2">
      <c r="A76" s="2" t="s">
        <v>337</v>
      </c>
      <c r="B76" s="5" t="s">
        <v>338</v>
      </c>
      <c r="C76" s="2">
        <v>0</v>
      </c>
      <c r="D76" s="5" t="s">
        <v>246</v>
      </c>
      <c r="E76" s="2">
        <v>0</v>
      </c>
      <c r="F76" s="5" t="s">
        <v>115</v>
      </c>
      <c r="G76" s="2">
        <v>0</v>
      </c>
      <c r="H76" s="5" t="s">
        <v>339</v>
      </c>
      <c r="I76" s="2">
        <v>0</v>
      </c>
      <c r="J76" s="5" t="s">
        <v>340</v>
      </c>
      <c r="K76" s="2">
        <v>0</v>
      </c>
      <c r="L76" s="5" t="s">
        <v>341</v>
      </c>
      <c r="M76" s="2">
        <v>0</v>
      </c>
      <c r="N76" s="5" t="s">
        <v>342</v>
      </c>
      <c r="O76" s="2">
        <v>0</v>
      </c>
      <c r="P76" s="5" t="s">
        <v>343</v>
      </c>
      <c r="Q76" s="2">
        <v>0</v>
      </c>
      <c r="R76" s="5" t="s">
        <v>154</v>
      </c>
      <c r="S76" s="2">
        <v>0</v>
      </c>
      <c r="T76" s="5" t="s">
        <v>344</v>
      </c>
      <c r="U76" s="2">
        <v>0</v>
      </c>
      <c r="V76" s="5" t="s">
        <v>345</v>
      </c>
      <c r="W76" s="2">
        <v>0</v>
      </c>
      <c r="AB76" s="4" t="s">
        <v>22</v>
      </c>
      <c r="AC76" s="2" t="b">
        <f t="shared" si="10"/>
        <v>0</v>
      </c>
      <c r="AE76" s="2">
        <f>(+E76+M76+Q76+S76+W76)</f>
        <v>0</v>
      </c>
      <c r="AF76" s="2">
        <f>(+C76+G76+U76+W76)</f>
        <v>0</v>
      </c>
      <c r="AG76" s="2">
        <f>(+E76+M76+O76+S76)</f>
        <v>0</v>
      </c>
      <c r="AH76" s="2">
        <f>(+C76+K76+O76+U76)</f>
        <v>0</v>
      </c>
      <c r="AI76" s="2">
        <f>(+C76+E76+K76+O76+Q76)</f>
        <v>0</v>
      </c>
      <c r="AJ76" s="2">
        <f>(+C76+G76+I76+O76+Q76+U76)</f>
        <v>0</v>
      </c>
      <c r="AK76" s="2">
        <f>(+C76+E76+S76+U76)</f>
        <v>0</v>
      </c>
      <c r="AL76" s="2">
        <f>(+C76+I76+K76+Q76+S76+U76)</f>
        <v>0</v>
      </c>
      <c r="AM76" s="2">
        <f>(+C76+I76+K76+M76+O76+Q76+U76)</f>
        <v>0</v>
      </c>
      <c r="AN76" s="2">
        <f>(+C76+K76+O76+U76+W76)</f>
        <v>0</v>
      </c>
      <c r="AO76" s="4" t="s">
        <v>22</v>
      </c>
      <c r="AP76" s="2">
        <v>45</v>
      </c>
      <c r="AQ76" s="2">
        <v>32</v>
      </c>
      <c r="AR76" s="2">
        <v>33</v>
      </c>
      <c r="AS76" s="2">
        <v>31</v>
      </c>
      <c r="AT76" s="2">
        <v>37</v>
      </c>
      <c r="AU76" s="2">
        <v>58</v>
      </c>
      <c r="AV76" s="2">
        <v>22</v>
      </c>
      <c r="AW76" s="2">
        <v>66</v>
      </c>
      <c r="AX76" s="2">
        <v>73</v>
      </c>
      <c r="AY76" s="2">
        <v>38</v>
      </c>
      <c r="BA76" s="2">
        <f t="shared" si="11"/>
        <v>0</v>
      </c>
      <c r="BD76" s="10">
        <v>0</v>
      </c>
      <c r="BE76" s="2" t="b">
        <f t="shared" si="12"/>
        <v>0</v>
      </c>
      <c r="BF76" s="10">
        <v>0</v>
      </c>
      <c r="BG76" s="2" t="b">
        <f t="shared" si="7"/>
        <v>1</v>
      </c>
      <c r="BH76" s="10">
        <v>0</v>
      </c>
      <c r="BI76" s="2" t="b">
        <f t="shared" si="8"/>
        <v>1</v>
      </c>
      <c r="BJ76" s="10">
        <v>111</v>
      </c>
      <c r="BK76" s="2" t="b">
        <f t="shared" si="9"/>
        <v>0</v>
      </c>
    </row>
    <row r="77" spans="1:64" x14ac:dyDescent="0.2">
      <c r="A77" s="2" t="s">
        <v>346</v>
      </c>
      <c r="B77" s="5" t="s">
        <v>8</v>
      </c>
      <c r="C77" s="2">
        <v>0</v>
      </c>
      <c r="D77" s="5" t="s">
        <v>6</v>
      </c>
      <c r="E77" s="2">
        <v>0</v>
      </c>
      <c r="F77" s="5" t="s">
        <v>47</v>
      </c>
      <c r="G77" s="2">
        <v>0</v>
      </c>
      <c r="H77" s="5" t="s">
        <v>7</v>
      </c>
      <c r="I77" s="2">
        <v>0</v>
      </c>
      <c r="J77" s="5" t="s">
        <v>38</v>
      </c>
      <c r="K77" s="2">
        <v>0</v>
      </c>
      <c r="L77" s="5" t="s">
        <v>50</v>
      </c>
      <c r="M77" s="2">
        <v>0</v>
      </c>
      <c r="AB77" s="4" t="s">
        <v>22</v>
      </c>
      <c r="AC77" s="2" t="b">
        <f t="shared" si="10"/>
        <v>0</v>
      </c>
      <c r="AE77" s="2">
        <f>(+G77)</f>
        <v>0</v>
      </c>
      <c r="AF77" s="2">
        <f>(+I77+K77+M77)</f>
        <v>0</v>
      </c>
      <c r="AG77" s="2">
        <f>(+C77+M77)</f>
        <v>0</v>
      </c>
      <c r="AH77" s="2">
        <f>(+E77+G77+I77+M77)</f>
        <v>0</v>
      </c>
      <c r="AO77" s="4" t="s">
        <v>22</v>
      </c>
      <c r="AP77" s="2">
        <v>17</v>
      </c>
      <c r="AQ77" s="2">
        <v>45</v>
      </c>
      <c r="AR77" s="2">
        <v>18</v>
      </c>
      <c r="AS77" s="2">
        <v>46</v>
      </c>
      <c r="BA77" s="2">
        <f t="shared" si="11"/>
        <v>0</v>
      </c>
      <c r="BD77" s="10">
        <v>62</v>
      </c>
      <c r="BE77" s="2" t="b">
        <f t="shared" si="12"/>
        <v>0</v>
      </c>
      <c r="BF77" s="10">
        <v>62</v>
      </c>
      <c r="BG77" s="2" t="b">
        <f t="shared" si="7"/>
        <v>1</v>
      </c>
      <c r="BH77" s="10">
        <v>62</v>
      </c>
      <c r="BI77" s="2" t="b">
        <f t="shared" si="8"/>
        <v>1</v>
      </c>
      <c r="BJ77" s="10">
        <v>62</v>
      </c>
      <c r="BK77" s="2" t="b">
        <f t="shared" si="9"/>
        <v>1</v>
      </c>
    </row>
    <row r="78" spans="1:64" x14ac:dyDescent="0.2">
      <c r="A78" s="2" t="s">
        <v>347</v>
      </c>
      <c r="B78" s="5" t="s">
        <v>230</v>
      </c>
      <c r="C78" s="2">
        <v>0</v>
      </c>
      <c r="D78" s="5" t="s">
        <v>348</v>
      </c>
      <c r="E78" s="2">
        <v>0</v>
      </c>
      <c r="F78" s="5" t="s">
        <v>349</v>
      </c>
      <c r="G78" s="2">
        <v>0</v>
      </c>
      <c r="H78" s="5" t="s">
        <v>229</v>
      </c>
      <c r="I78" s="2">
        <v>0</v>
      </c>
      <c r="J78" s="5" t="s">
        <v>139</v>
      </c>
      <c r="K78" s="2">
        <v>0</v>
      </c>
      <c r="L78" s="5" t="s">
        <v>350</v>
      </c>
      <c r="M78" s="2">
        <v>0</v>
      </c>
      <c r="N78" s="5" t="s">
        <v>351</v>
      </c>
      <c r="O78" s="2">
        <v>0</v>
      </c>
      <c r="P78" s="5" t="s">
        <v>352</v>
      </c>
      <c r="Q78" s="2">
        <v>0</v>
      </c>
      <c r="R78" s="5" t="s">
        <v>353</v>
      </c>
      <c r="S78" s="2">
        <v>0</v>
      </c>
      <c r="T78" s="5" t="s">
        <v>354</v>
      </c>
      <c r="U78" s="2">
        <v>0</v>
      </c>
      <c r="AB78" s="4" t="s">
        <v>22</v>
      </c>
      <c r="AC78" s="2" t="b">
        <f t="shared" si="10"/>
        <v>0</v>
      </c>
      <c r="AE78" s="2">
        <f>(+E78+S78)</f>
        <v>0</v>
      </c>
      <c r="AF78" s="2">
        <f>(+E78+I78+Q78+S78+U78)</f>
        <v>0</v>
      </c>
      <c r="AG78" s="2">
        <f>(+K78+M78+Q78+U78)</f>
        <v>0</v>
      </c>
      <c r="AH78" s="2">
        <f>(+C78)</f>
        <v>0</v>
      </c>
      <c r="AI78" s="2">
        <f>(+E78+I78+M78+S78+U78)</f>
        <v>0</v>
      </c>
      <c r="AJ78" s="2">
        <f>(+E78+G78+I78+M78+U78)</f>
        <v>0</v>
      </c>
      <c r="AK78" s="2">
        <f>(+C78+E78+K78+O78+U78)</f>
        <v>0</v>
      </c>
      <c r="AL78" s="2">
        <f>(+K78+O78+Q78+U78)</f>
        <v>0</v>
      </c>
      <c r="AM78" s="2">
        <f>(+G78+I78+M78+U78)</f>
        <v>0</v>
      </c>
      <c r="AN78" s="2">
        <f>(+S78+U78)</f>
        <v>0</v>
      </c>
      <c r="AO78" s="4" t="s">
        <v>22</v>
      </c>
      <c r="AP78" s="2">
        <v>37</v>
      </c>
      <c r="AQ78" s="2">
        <v>88</v>
      </c>
      <c r="AR78" s="2">
        <v>60</v>
      </c>
      <c r="AS78" s="2">
        <v>8</v>
      </c>
      <c r="AT78" s="2">
        <v>87</v>
      </c>
      <c r="AU78" s="2">
        <v>70</v>
      </c>
      <c r="AV78" s="2">
        <v>59</v>
      </c>
      <c r="AW78" s="2">
        <v>52</v>
      </c>
      <c r="AX78" s="2">
        <v>53</v>
      </c>
      <c r="AY78" s="2">
        <v>39</v>
      </c>
      <c r="BA78" s="2">
        <f t="shared" si="11"/>
        <v>0</v>
      </c>
      <c r="BD78" s="10">
        <v>131</v>
      </c>
      <c r="BE78" s="2" t="b">
        <f t="shared" si="12"/>
        <v>0</v>
      </c>
      <c r="BF78" s="10">
        <v>131</v>
      </c>
      <c r="BG78" s="2" t="b">
        <f t="shared" si="7"/>
        <v>1</v>
      </c>
      <c r="BH78" s="10">
        <v>131</v>
      </c>
      <c r="BI78" s="2" t="b">
        <f t="shared" si="8"/>
        <v>1</v>
      </c>
      <c r="BJ78" s="10">
        <v>131</v>
      </c>
      <c r="BK78" s="2" t="b">
        <f t="shared" si="9"/>
        <v>1</v>
      </c>
    </row>
    <row r="79" spans="1:64" x14ac:dyDescent="0.2">
      <c r="A79" s="2" t="s">
        <v>355</v>
      </c>
      <c r="B79" s="5" t="s">
        <v>154</v>
      </c>
      <c r="C79" s="2">
        <v>0</v>
      </c>
      <c r="D79" s="5" t="s">
        <v>356</v>
      </c>
      <c r="E79" s="2">
        <v>0</v>
      </c>
      <c r="F79" s="5" t="s">
        <v>233</v>
      </c>
      <c r="G79" s="2">
        <v>0</v>
      </c>
      <c r="H79" s="5" t="s">
        <v>357</v>
      </c>
      <c r="I79" s="2">
        <v>0</v>
      </c>
      <c r="J79" s="5" t="s">
        <v>131</v>
      </c>
      <c r="K79" s="2">
        <v>0</v>
      </c>
      <c r="L79" s="5" t="s">
        <v>24</v>
      </c>
      <c r="M79" s="2">
        <v>0</v>
      </c>
      <c r="N79" s="5" t="s">
        <v>358</v>
      </c>
      <c r="O79" s="2">
        <v>0</v>
      </c>
      <c r="P79" s="5" t="s">
        <v>359</v>
      </c>
      <c r="Q79" s="2">
        <v>0</v>
      </c>
      <c r="AB79" s="4" t="s">
        <v>22</v>
      </c>
      <c r="AC79" s="2" t="b">
        <f t="shared" si="10"/>
        <v>0</v>
      </c>
      <c r="AE79" s="2">
        <f>(+C79+E79+G79+I79+Q79)</f>
        <v>0</v>
      </c>
      <c r="AF79" s="2">
        <f>(+G79+K79+O79+Q79)</f>
        <v>0</v>
      </c>
      <c r="AG79" s="2">
        <f>(+C79+E79+K79+M79+Q79)</f>
        <v>0</v>
      </c>
      <c r="AH79" s="2">
        <f>(+E79+G79+I79+Q79)</f>
        <v>0</v>
      </c>
      <c r="AI79" s="2">
        <f>(+E79+G79+M79+Q79)</f>
        <v>0</v>
      </c>
      <c r="AJ79" s="2">
        <f>(+E79+I79+K79+O79)</f>
        <v>0</v>
      </c>
      <c r="AK79" s="2">
        <f>(+C79+G79+I79+O79)</f>
        <v>0</v>
      </c>
      <c r="AL79" s="2">
        <f>(+C79+E79+G79+I79+O79+Q79)</f>
        <v>0</v>
      </c>
      <c r="AM79" s="2">
        <f>(+G79+Q79)</f>
        <v>0</v>
      </c>
      <c r="AO79" s="4" t="s">
        <v>22</v>
      </c>
      <c r="AP79" s="2">
        <v>50</v>
      </c>
      <c r="AQ79" s="2">
        <v>29</v>
      </c>
      <c r="AR79" s="2">
        <v>28</v>
      </c>
      <c r="AS79" s="2">
        <v>44</v>
      </c>
      <c r="AT79" s="2">
        <v>29</v>
      </c>
      <c r="AU79" s="2">
        <v>35</v>
      </c>
      <c r="AV79" s="2">
        <v>42</v>
      </c>
      <c r="AW79" s="2">
        <v>60</v>
      </c>
      <c r="AX79" s="2">
        <v>19</v>
      </c>
      <c r="BA79" s="2">
        <f t="shared" si="11"/>
        <v>0</v>
      </c>
      <c r="BD79" s="10">
        <v>64</v>
      </c>
      <c r="BE79" s="2" t="b">
        <f t="shared" si="12"/>
        <v>0</v>
      </c>
      <c r="BF79" s="10">
        <v>64</v>
      </c>
      <c r="BG79" s="2" t="b">
        <f t="shared" si="7"/>
        <v>1</v>
      </c>
      <c r="BH79" s="10">
        <v>64</v>
      </c>
      <c r="BI79" s="2" t="b">
        <f t="shared" si="8"/>
        <v>1</v>
      </c>
      <c r="BJ79" s="10">
        <v>64</v>
      </c>
      <c r="BK79" s="2" t="b">
        <f t="shared" si="9"/>
        <v>1</v>
      </c>
    </row>
    <row r="80" spans="1:64" x14ac:dyDescent="0.2">
      <c r="A80" s="2" t="s">
        <v>360</v>
      </c>
      <c r="B80" s="5" t="s">
        <v>175</v>
      </c>
      <c r="C80" s="2">
        <v>0</v>
      </c>
      <c r="D80" s="5" t="s">
        <v>361</v>
      </c>
      <c r="E80" s="2">
        <v>0</v>
      </c>
      <c r="F80" s="5" t="s">
        <v>332</v>
      </c>
      <c r="G80" s="2">
        <v>0</v>
      </c>
      <c r="H80" s="5" t="s">
        <v>362</v>
      </c>
      <c r="I80" s="2">
        <v>0</v>
      </c>
      <c r="J80" s="5" t="s">
        <v>55</v>
      </c>
      <c r="K80" s="2">
        <v>0</v>
      </c>
      <c r="L80" s="5" t="s">
        <v>182</v>
      </c>
      <c r="M80" s="2">
        <v>0</v>
      </c>
      <c r="N80" s="5" t="s">
        <v>363</v>
      </c>
      <c r="O80" s="2">
        <v>0</v>
      </c>
      <c r="P80" s="5" t="s">
        <v>104</v>
      </c>
      <c r="Q80" s="2">
        <v>0</v>
      </c>
      <c r="R80" s="5" t="s">
        <v>364</v>
      </c>
      <c r="S80" s="2">
        <v>0</v>
      </c>
      <c r="AB80" s="4" t="s">
        <v>22</v>
      </c>
      <c r="AC80" s="2" t="b">
        <f t="shared" si="10"/>
        <v>0</v>
      </c>
      <c r="AE80" s="2">
        <f>(+C80+G80+I80+K80+M80+O80+Q80)</f>
        <v>0</v>
      </c>
      <c r="AF80" s="2">
        <f>(+C80+E80+I80+K80+O80+S80)</f>
        <v>0</v>
      </c>
      <c r="AG80" s="2">
        <f>(+C80+K80+M80)</f>
        <v>0</v>
      </c>
      <c r="AH80" s="2">
        <f>(+E80+I80+K80+M80+S80)</f>
        <v>0</v>
      </c>
      <c r="AI80" s="2">
        <f>(+E80+M80+O80+Q80+S80)</f>
        <v>0</v>
      </c>
      <c r="AJ80" s="2">
        <f>(+C80+G80+I80+K80+S80)</f>
        <v>0</v>
      </c>
      <c r="AK80" s="2">
        <f>(+E80+I80+K80+O80+Q80+S80)</f>
        <v>0</v>
      </c>
      <c r="AL80" s="2">
        <f>(+C80+E80+G80+I80+M80+O80+Q80+S80)</f>
        <v>0</v>
      </c>
      <c r="AO80" s="4" t="s">
        <v>22</v>
      </c>
      <c r="AP80" s="2">
        <v>76</v>
      </c>
      <c r="AQ80" s="2">
        <v>64</v>
      </c>
      <c r="AR80" s="2">
        <v>54</v>
      </c>
      <c r="AS80" s="2">
        <v>61</v>
      </c>
      <c r="AT80" s="2">
        <v>59</v>
      </c>
      <c r="AU80" s="2">
        <v>59</v>
      </c>
      <c r="AV80" s="2">
        <v>60</v>
      </c>
      <c r="AW80" s="2">
        <v>85</v>
      </c>
      <c r="BA80" s="2">
        <f t="shared" si="11"/>
        <v>0</v>
      </c>
      <c r="BD80" s="10">
        <v>0</v>
      </c>
      <c r="BE80" s="2" t="b">
        <f t="shared" si="12"/>
        <v>0</v>
      </c>
      <c r="BF80" s="10">
        <v>0</v>
      </c>
      <c r="BG80" s="2" t="b">
        <f t="shared" si="7"/>
        <v>1</v>
      </c>
      <c r="BH80" s="10">
        <v>102</v>
      </c>
      <c r="BI80" s="2" t="b">
        <f t="shared" si="8"/>
        <v>0</v>
      </c>
      <c r="BJ80" s="10">
        <v>100</v>
      </c>
      <c r="BK80" s="2" t="b">
        <f t="shared" si="9"/>
        <v>0</v>
      </c>
    </row>
    <row r="81" spans="1:66" x14ac:dyDescent="0.2">
      <c r="A81" s="2" t="s">
        <v>365</v>
      </c>
      <c r="B81" s="5" t="s">
        <v>47</v>
      </c>
      <c r="C81" s="2">
        <v>0</v>
      </c>
      <c r="D81" s="5" t="s">
        <v>6</v>
      </c>
      <c r="E81" s="2">
        <v>0</v>
      </c>
      <c r="F81" s="5" t="s">
        <v>24</v>
      </c>
      <c r="G81" s="2">
        <v>0</v>
      </c>
      <c r="H81" s="5" t="s">
        <v>193</v>
      </c>
      <c r="I81" s="2">
        <v>0</v>
      </c>
      <c r="J81" s="5" t="s">
        <v>366</v>
      </c>
      <c r="K81" s="2">
        <v>0</v>
      </c>
      <c r="L81" s="5" t="s">
        <v>56</v>
      </c>
      <c r="M81" s="2">
        <v>0</v>
      </c>
      <c r="N81" s="5" t="s">
        <v>119</v>
      </c>
      <c r="O81" s="2">
        <v>0</v>
      </c>
      <c r="AB81" s="4" t="s">
        <v>22</v>
      </c>
      <c r="AC81" s="2" t="b">
        <f t="shared" si="10"/>
        <v>0</v>
      </c>
      <c r="AE81" s="2">
        <f>(+C81+I81+K81)</f>
        <v>0</v>
      </c>
      <c r="AF81" s="2">
        <f>(+I81)</f>
        <v>0</v>
      </c>
      <c r="AG81" s="2">
        <f>(+G81+M81)</f>
        <v>0</v>
      </c>
      <c r="AH81" s="2">
        <f>(+C81+E81+I81+K81+O81)</f>
        <v>0</v>
      </c>
      <c r="AI81" s="2">
        <f>(+G81+I81+K81+O81)</f>
        <v>0</v>
      </c>
      <c r="AJ81" s="2">
        <f>(+I81+K81+M81+O81)</f>
        <v>0</v>
      </c>
      <c r="AO81" s="4" t="s">
        <v>22</v>
      </c>
      <c r="AP81" s="2">
        <v>51</v>
      </c>
      <c r="AQ81" s="2">
        <v>20</v>
      </c>
      <c r="AR81" s="2">
        <v>17</v>
      </c>
      <c r="AS81" s="2">
        <v>77</v>
      </c>
      <c r="AT81" s="2">
        <v>56</v>
      </c>
      <c r="AU81" s="2">
        <v>49</v>
      </c>
      <c r="BA81" s="2">
        <f t="shared" si="11"/>
        <v>0</v>
      </c>
      <c r="BD81" s="10">
        <v>94</v>
      </c>
      <c r="BE81" s="2" t="b">
        <f t="shared" si="12"/>
        <v>0</v>
      </c>
      <c r="BF81" s="10">
        <v>94</v>
      </c>
      <c r="BG81" s="2" t="b">
        <f t="shared" si="7"/>
        <v>1</v>
      </c>
      <c r="BH81" s="10">
        <v>94</v>
      </c>
      <c r="BI81" s="2" t="b">
        <f t="shared" si="8"/>
        <v>1</v>
      </c>
      <c r="BJ81" s="10">
        <v>94</v>
      </c>
      <c r="BK81" s="2" t="b">
        <f t="shared" si="9"/>
        <v>1</v>
      </c>
    </row>
    <row r="82" spans="1:66" s="6" customFormat="1" x14ac:dyDescent="0.2">
      <c r="A82" s="6" t="s">
        <v>367</v>
      </c>
      <c r="B82" s="7" t="s">
        <v>40</v>
      </c>
      <c r="C82" s="6">
        <v>5</v>
      </c>
      <c r="D82" s="7" t="s">
        <v>50</v>
      </c>
      <c r="E82" s="6">
        <v>9</v>
      </c>
      <c r="F82" s="7"/>
      <c r="H82" s="7"/>
      <c r="J82" s="7"/>
      <c r="L82" s="7"/>
      <c r="N82" s="7"/>
      <c r="P82" s="7"/>
      <c r="R82" s="7"/>
      <c r="T82" s="7"/>
      <c r="V82" s="7"/>
      <c r="X82" s="7"/>
      <c r="Z82" s="7"/>
      <c r="AB82" s="6" t="s">
        <v>22</v>
      </c>
      <c r="AC82" s="6" t="b">
        <f t="shared" si="10"/>
        <v>1</v>
      </c>
      <c r="AE82" s="6">
        <f>(+C82)</f>
        <v>5</v>
      </c>
      <c r="AF82" s="6">
        <f>(+E82)</f>
        <v>9</v>
      </c>
      <c r="AG82" s="6">
        <f>(+C82+E82)</f>
        <v>14</v>
      </c>
      <c r="AH82" s="6">
        <f>(+C82+E82)</f>
        <v>14</v>
      </c>
      <c r="AO82" s="6" t="s">
        <v>22</v>
      </c>
      <c r="AP82" s="6">
        <v>5</v>
      </c>
      <c r="AQ82" s="6">
        <v>9</v>
      </c>
      <c r="AR82" s="6">
        <v>14</v>
      </c>
      <c r="AS82" s="6">
        <v>14</v>
      </c>
      <c r="BA82" s="6">
        <f t="shared" si="11"/>
        <v>14</v>
      </c>
      <c r="BB82" s="2"/>
      <c r="BC82" s="2"/>
      <c r="BD82" s="10">
        <v>14</v>
      </c>
      <c r="BE82" s="2" t="b">
        <f t="shared" si="12"/>
        <v>1</v>
      </c>
      <c r="BF82" s="10">
        <v>14</v>
      </c>
      <c r="BG82" s="2" t="b">
        <f t="shared" si="7"/>
        <v>1</v>
      </c>
      <c r="BH82" s="10">
        <v>14</v>
      </c>
      <c r="BI82" s="2" t="b">
        <f t="shared" si="8"/>
        <v>1</v>
      </c>
      <c r="BJ82" s="10">
        <v>14</v>
      </c>
      <c r="BK82" s="2" t="b">
        <f t="shared" si="9"/>
        <v>1</v>
      </c>
      <c r="BL82" s="2"/>
    </row>
    <row r="83" spans="1:66" s="6" customFormat="1" x14ac:dyDescent="0.2">
      <c r="A83" s="6" t="s">
        <v>368</v>
      </c>
      <c r="B83" s="7" t="s">
        <v>106</v>
      </c>
      <c r="C83" s="6">
        <v>9</v>
      </c>
      <c r="D83" s="7" t="s">
        <v>50</v>
      </c>
      <c r="E83" s="6">
        <v>11</v>
      </c>
      <c r="F83" s="7" t="s">
        <v>19</v>
      </c>
      <c r="G83" s="6">
        <v>3</v>
      </c>
      <c r="H83" s="7" t="s">
        <v>13</v>
      </c>
      <c r="I83" s="6">
        <v>14</v>
      </c>
      <c r="J83" s="7"/>
      <c r="L83" s="7"/>
      <c r="N83" s="7"/>
      <c r="P83" s="7"/>
      <c r="R83" s="7"/>
      <c r="T83" s="7"/>
      <c r="V83" s="7"/>
      <c r="X83" s="7"/>
      <c r="Z83" s="7"/>
      <c r="AB83" s="6" t="s">
        <v>22</v>
      </c>
      <c r="AC83" s="6" t="b">
        <f t="shared" si="10"/>
        <v>1</v>
      </c>
      <c r="AE83" s="6">
        <f>(+C83+G83+I83)</f>
        <v>26</v>
      </c>
      <c r="AF83" s="6">
        <f>(+E83)</f>
        <v>11</v>
      </c>
      <c r="AG83" s="6">
        <f>(+C83+E83+I83)</f>
        <v>34</v>
      </c>
      <c r="AH83" s="6">
        <f>(+E83+G83+I83)</f>
        <v>28</v>
      </c>
      <c r="AI83" s="6">
        <f>(+C83+G83+I83)</f>
        <v>26</v>
      </c>
      <c r="AO83" s="6" t="s">
        <v>22</v>
      </c>
      <c r="AP83" s="6">
        <v>26</v>
      </c>
      <c r="AQ83" s="6">
        <v>11</v>
      </c>
      <c r="AR83" s="6">
        <v>34</v>
      </c>
      <c r="AS83" s="6">
        <v>28</v>
      </c>
      <c r="AT83" s="6">
        <v>26</v>
      </c>
      <c r="BA83" s="6">
        <f t="shared" si="11"/>
        <v>37</v>
      </c>
      <c r="BB83" s="2"/>
      <c r="BC83" s="2"/>
      <c r="BD83" s="10">
        <v>37</v>
      </c>
      <c r="BE83" s="2" t="b">
        <f t="shared" si="12"/>
        <v>1</v>
      </c>
      <c r="BF83" s="10">
        <v>37</v>
      </c>
      <c r="BG83" s="2" t="b">
        <f t="shared" si="7"/>
        <v>1</v>
      </c>
      <c r="BH83" s="10">
        <v>37</v>
      </c>
      <c r="BI83" s="2" t="b">
        <f t="shared" si="8"/>
        <v>1</v>
      </c>
      <c r="BJ83" s="10">
        <v>37</v>
      </c>
      <c r="BK83" s="2" t="b">
        <f t="shared" si="9"/>
        <v>1</v>
      </c>
      <c r="BL83" s="2"/>
    </row>
    <row r="84" spans="1:66" x14ac:dyDescent="0.2">
      <c r="A84" s="2" t="s">
        <v>369</v>
      </c>
      <c r="B84" s="5" t="s">
        <v>202</v>
      </c>
      <c r="C84" s="2">
        <v>0</v>
      </c>
      <c r="D84" s="5" t="s">
        <v>370</v>
      </c>
      <c r="E84" s="2">
        <v>0</v>
      </c>
      <c r="F84" s="5" t="s">
        <v>371</v>
      </c>
      <c r="G84" s="2">
        <v>0</v>
      </c>
      <c r="H84" s="5" t="s">
        <v>372</v>
      </c>
      <c r="I84" s="2">
        <v>0</v>
      </c>
      <c r="J84" s="5" t="s">
        <v>293</v>
      </c>
      <c r="K84" s="2">
        <v>0</v>
      </c>
      <c r="L84" s="5" t="s">
        <v>27</v>
      </c>
      <c r="M84" s="2">
        <v>0</v>
      </c>
      <c r="N84" s="5" t="s">
        <v>24</v>
      </c>
      <c r="O84" s="2">
        <v>0</v>
      </c>
      <c r="P84" s="5" t="s">
        <v>373</v>
      </c>
      <c r="Q84" s="2">
        <v>0</v>
      </c>
      <c r="R84" s="5" t="s">
        <v>374</v>
      </c>
      <c r="S84" s="2">
        <v>0</v>
      </c>
      <c r="AB84" s="4" t="s">
        <v>22</v>
      </c>
      <c r="AC84" s="2" t="b">
        <f t="shared" si="10"/>
        <v>0</v>
      </c>
      <c r="AE84" s="2">
        <f>(+E84+M84+S84)</f>
        <v>0</v>
      </c>
      <c r="AF84" s="2">
        <f>(+C84+E84+G84+K84+M84+Q84+S84)</f>
        <v>0</v>
      </c>
      <c r="AG84" s="2">
        <f>(+E84+G84+M84+O84+S84)</f>
        <v>0</v>
      </c>
      <c r="AH84" s="2">
        <f>(+G84+I84+K84+M84+Q84+S84)</f>
        <v>0</v>
      </c>
      <c r="AI84" s="2">
        <f>(+C84+G84+K84+O84+Q84)</f>
        <v>0</v>
      </c>
      <c r="AJ84" s="2">
        <f>(+E84+G84+K84+S84)</f>
        <v>0</v>
      </c>
      <c r="AK84" s="2">
        <f>(+E84+G84+I84+K84+Q84)</f>
        <v>0</v>
      </c>
      <c r="AL84" s="2">
        <f>(+E84+G84+I84)</f>
        <v>0</v>
      </c>
      <c r="AM84" s="2">
        <f>(+G84+I84+K84+Q84+S84)</f>
        <v>0</v>
      </c>
      <c r="AN84" s="2">
        <f>(+E84+G84)</f>
        <v>0</v>
      </c>
      <c r="AO84" s="4" t="s">
        <v>22</v>
      </c>
      <c r="AP84" s="2">
        <v>170</v>
      </c>
      <c r="AQ84" s="2">
        <v>218</v>
      </c>
      <c r="AR84" s="2">
        <v>189</v>
      </c>
      <c r="AS84" s="2">
        <v>63</v>
      </c>
      <c r="AT84" s="2">
        <v>63</v>
      </c>
      <c r="AU84" s="2">
        <v>178</v>
      </c>
      <c r="AV84" s="2">
        <v>191</v>
      </c>
      <c r="AW84" s="2">
        <v>164</v>
      </c>
      <c r="AX84" s="2">
        <v>47</v>
      </c>
      <c r="AY84" s="2">
        <v>153</v>
      </c>
      <c r="BA84" s="2">
        <f t="shared" si="11"/>
        <v>0</v>
      </c>
      <c r="BD84" s="10">
        <v>244</v>
      </c>
      <c r="BE84" s="2" t="b">
        <f t="shared" si="12"/>
        <v>0</v>
      </c>
      <c r="BF84" s="10">
        <v>244</v>
      </c>
      <c r="BG84" s="2" t="b">
        <f t="shared" si="7"/>
        <v>1</v>
      </c>
      <c r="BH84" s="10">
        <v>244</v>
      </c>
      <c r="BI84" s="2" t="b">
        <f t="shared" si="8"/>
        <v>1</v>
      </c>
      <c r="BJ84" s="10">
        <v>244</v>
      </c>
      <c r="BK84" s="2" t="b">
        <f t="shared" si="9"/>
        <v>1</v>
      </c>
    </row>
    <row r="85" spans="1:66" x14ac:dyDescent="0.2">
      <c r="A85" s="2" t="s">
        <v>375</v>
      </c>
      <c r="B85" s="5" t="s">
        <v>118</v>
      </c>
      <c r="C85" s="2">
        <v>0</v>
      </c>
      <c r="D85" s="5" t="s">
        <v>262</v>
      </c>
      <c r="E85" s="2">
        <v>0</v>
      </c>
      <c r="F85" s="5" t="s">
        <v>376</v>
      </c>
      <c r="G85" s="2">
        <v>0</v>
      </c>
      <c r="H85" s="5" t="s">
        <v>209</v>
      </c>
      <c r="I85" s="2">
        <v>0</v>
      </c>
      <c r="J85" s="5" t="s">
        <v>115</v>
      </c>
      <c r="K85" s="2">
        <v>0</v>
      </c>
      <c r="L85" s="5" t="s">
        <v>68</v>
      </c>
      <c r="M85" s="2">
        <v>0</v>
      </c>
      <c r="N85" s="5" t="s">
        <v>300</v>
      </c>
      <c r="O85" s="2">
        <v>0</v>
      </c>
      <c r="P85" s="5" t="s">
        <v>377</v>
      </c>
      <c r="Q85" s="2">
        <v>0</v>
      </c>
      <c r="R85" s="5" t="s">
        <v>378</v>
      </c>
      <c r="S85" s="2">
        <v>0</v>
      </c>
      <c r="AB85" s="4" t="s">
        <v>22</v>
      </c>
      <c r="AC85" s="2" t="b">
        <f t="shared" si="10"/>
        <v>0</v>
      </c>
      <c r="AE85" s="2">
        <f>(+I85+M85+O85+Q85)</f>
        <v>0</v>
      </c>
      <c r="AF85" s="2">
        <f>(+C85+I85+K85+Q85)</f>
        <v>0</v>
      </c>
      <c r="AG85" s="2">
        <f>(+E85+G85+I85+O85)</f>
        <v>0</v>
      </c>
      <c r="AH85" s="2">
        <f>(+C85+I85+M85)</f>
        <v>0</v>
      </c>
      <c r="AI85" s="2">
        <f>(+C85+G85+I85+O85+Q85)</f>
        <v>0</v>
      </c>
      <c r="AJ85" s="2">
        <f>(+G85+K85+O85)</f>
        <v>0</v>
      </c>
      <c r="AK85" s="2">
        <f>(+G85+I85+O85+Q85)</f>
        <v>0</v>
      </c>
      <c r="AL85" s="2">
        <f>(+E85+G85+M85+O85+S85)</f>
        <v>0</v>
      </c>
      <c r="AM85" s="2">
        <f>(+I85+Q85+S85)</f>
        <v>0</v>
      </c>
      <c r="AO85" s="4" t="s">
        <v>22</v>
      </c>
      <c r="AP85" s="2">
        <v>25</v>
      </c>
      <c r="AQ85" s="2">
        <v>38</v>
      </c>
      <c r="AR85" s="2">
        <v>14</v>
      </c>
      <c r="AS85" s="2">
        <v>41</v>
      </c>
      <c r="AT85" s="2">
        <v>29</v>
      </c>
      <c r="AU85" s="2">
        <v>17</v>
      </c>
      <c r="AV85" s="2">
        <v>12</v>
      </c>
      <c r="AW85" s="2">
        <v>39</v>
      </c>
      <c r="AX85" s="2">
        <v>25</v>
      </c>
      <c r="BA85" s="2">
        <f t="shared" si="11"/>
        <v>0</v>
      </c>
      <c r="BD85" s="10">
        <v>0</v>
      </c>
      <c r="BE85" s="2" t="b">
        <f t="shared" si="12"/>
        <v>0</v>
      </c>
      <c r="BF85" s="10">
        <v>0</v>
      </c>
      <c r="BG85" s="2" t="b">
        <f t="shared" si="7"/>
        <v>1</v>
      </c>
      <c r="BH85" s="10">
        <v>0</v>
      </c>
      <c r="BI85" s="2" t="b">
        <f t="shared" si="8"/>
        <v>1</v>
      </c>
      <c r="BJ85" s="10">
        <v>77</v>
      </c>
      <c r="BK85" s="2" t="b">
        <f t="shared" si="9"/>
        <v>0</v>
      </c>
    </row>
    <row r="86" spans="1:66" x14ac:dyDescent="0.2">
      <c r="A86" s="2" t="s">
        <v>379</v>
      </c>
      <c r="B86" s="5" t="s">
        <v>137</v>
      </c>
      <c r="C86" s="2">
        <v>0</v>
      </c>
      <c r="D86" s="5" t="s">
        <v>30</v>
      </c>
      <c r="E86" s="2">
        <v>0</v>
      </c>
      <c r="F86" s="5" t="s">
        <v>166</v>
      </c>
      <c r="G86" s="2">
        <v>0</v>
      </c>
      <c r="H86" s="5" t="s">
        <v>380</v>
      </c>
      <c r="I86" s="2">
        <v>0</v>
      </c>
      <c r="J86" s="5" t="s">
        <v>115</v>
      </c>
      <c r="K86" s="2">
        <v>0</v>
      </c>
      <c r="L86" s="5" t="s">
        <v>7</v>
      </c>
      <c r="M86" s="2">
        <v>0</v>
      </c>
      <c r="AB86" s="4" t="s">
        <v>22</v>
      </c>
      <c r="AC86" s="2" t="b">
        <f t="shared" si="10"/>
        <v>0</v>
      </c>
      <c r="AE86" s="2">
        <f>(+C86+E86)</f>
        <v>0</v>
      </c>
      <c r="AF86" s="2">
        <f>(+C86+E86+G86+I86+K86+M86)</f>
        <v>0</v>
      </c>
      <c r="AG86" s="2">
        <f>(+C86+E86+G86+I86)</f>
        <v>0</v>
      </c>
      <c r="AH86" s="2">
        <f>(+C86+G86+I86+M86)</f>
        <v>0</v>
      </c>
      <c r="AI86" s="2">
        <f>(+C86+E86+I86)</f>
        <v>0</v>
      </c>
      <c r="AJ86" s="2">
        <f>(+C86+I86+K86)</f>
        <v>0</v>
      </c>
      <c r="AK86" s="2">
        <f>(+C86+E86+G86+I86)</f>
        <v>0</v>
      </c>
      <c r="AO86" s="4" t="s">
        <v>22</v>
      </c>
      <c r="AP86" s="2">
        <v>12</v>
      </c>
      <c r="AQ86" s="2">
        <v>177</v>
      </c>
      <c r="AR86" s="2">
        <v>158</v>
      </c>
      <c r="AS86" s="2">
        <v>166</v>
      </c>
      <c r="AT86" s="2">
        <v>12</v>
      </c>
      <c r="AU86" s="2">
        <v>19</v>
      </c>
      <c r="AV86" s="2">
        <v>158</v>
      </c>
      <c r="BA86" s="2">
        <f t="shared" si="11"/>
        <v>0</v>
      </c>
      <c r="BD86" s="10">
        <v>177</v>
      </c>
      <c r="BE86" s="2" t="b">
        <f t="shared" si="12"/>
        <v>0</v>
      </c>
      <c r="BF86" s="10">
        <v>177</v>
      </c>
      <c r="BG86" s="2" t="b">
        <f t="shared" si="7"/>
        <v>1</v>
      </c>
      <c r="BH86" s="10">
        <v>177</v>
      </c>
      <c r="BI86" s="2" t="b">
        <f t="shared" si="8"/>
        <v>1</v>
      </c>
      <c r="BJ86" s="10">
        <v>177</v>
      </c>
      <c r="BK86" s="2" t="b">
        <f t="shared" si="9"/>
        <v>1</v>
      </c>
    </row>
    <row r="87" spans="1:66" x14ac:dyDescent="0.2">
      <c r="A87" s="2" t="s">
        <v>381</v>
      </c>
      <c r="B87" s="5" t="s">
        <v>343</v>
      </c>
      <c r="C87" s="2">
        <v>0</v>
      </c>
      <c r="D87" s="5" t="s">
        <v>364</v>
      </c>
      <c r="E87" s="2">
        <v>0</v>
      </c>
      <c r="F87" s="5" t="s">
        <v>223</v>
      </c>
      <c r="G87" s="2">
        <v>0</v>
      </c>
      <c r="H87" s="5" t="s">
        <v>173</v>
      </c>
      <c r="I87" s="2">
        <v>0</v>
      </c>
      <c r="J87" s="5" t="s">
        <v>230</v>
      </c>
      <c r="K87" s="2">
        <v>0</v>
      </c>
      <c r="L87" s="5" t="s">
        <v>359</v>
      </c>
      <c r="M87" s="2">
        <v>0</v>
      </c>
      <c r="N87" s="5" t="s">
        <v>322</v>
      </c>
      <c r="O87" s="2">
        <v>0</v>
      </c>
      <c r="P87" s="5" t="s">
        <v>272</v>
      </c>
      <c r="Q87" s="2">
        <v>0</v>
      </c>
      <c r="AB87" s="4" t="s">
        <v>22</v>
      </c>
      <c r="AC87" s="2" t="b">
        <f t="shared" si="10"/>
        <v>0</v>
      </c>
      <c r="AE87" s="2">
        <f>(+C87+G87+M87+Q87)</f>
        <v>0</v>
      </c>
      <c r="AF87" s="2">
        <f>(+E87+M87+O87)</f>
        <v>0</v>
      </c>
      <c r="AG87" s="2">
        <f>(+M87)</f>
        <v>0</v>
      </c>
      <c r="AH87" s="2">
        <f>(+E87+G87+K87+M87+O87)</f>
        <v>0</v>
      </c>
      <c r="AI87" s="2">
        <f>(+C87+E87+M87)</f>
        <v>0</v>
      </c>
      <c r="AJ87" s="2">
        <f>(+C87+E87+G87+I87)</f>
        <v>0</v>
      </c>
      <c r="AK87" s="2">
        <f>(+E87+K87)</f>
        <v>0</v>
      </c>
      <c r="AL87" s="2">
        <f>(+C87+E87+I87+M87)</f>
        <v>0</v>
      </c>
      <c r="AM87" s="2">
        <f>(+C87+G87+M87+O87+Q87)</f>
        <v>0</v>
      </c>
      <c r="AO87" s="4" t="s">
        <v>22</v>
      </c>
      <c r="AP87" s="2">
        <v>38</v>
      </c>
      <c r="AQ87" s="2">
        <v>21</v>
      </c>
      <c r="AR87" s="2">
        <v>12</v>
      </c>
      <c r="AS87" s="2">
        <v>42</v>
      </c>
      <c r="AT87" s="2">
        <v>26</v>
      </c>
      <c r="AU87" s="2">
        <v>32</v>
      </c>
      <c r="AV87" s="2">
        <v>14</v>
      </c>
      <c r="AW87" s="2">
        <v>33</v>
      </c>
      <c r="AX87" s="2">
        <v>43</v>
      </c>
      <c r="BA87" s="2">
        <f t="shared" si="11"/>
        <v>0</v>
      </c>
      <c r="BD87" s="10">
        <v>64</v>
      </c>
      <c r="BE87" s="2" t="b">
        <f t="shared" si="12"/>
        <v>0</v>
      </c>
      <c r="BF87" s="10">
        <v>64</v>
      </c>
      <c r="BG87" s="2" t="b">
        <f t="shared" si="7"/>
        <v>1</v>
      </c>
      <c r="BH87" s="10">
        <v>64</v>
      </c>
      <c r="BI87" s="2" t="b">
        <f t="shared" si="8"/>
        <v>1</v>
      </c>
      <c r="BJ87" s="10">
        <v>64</v>
      </c>
      <c r="BK87" s="2" t="b">
        <f t="shared" si="9"/>
        <v>1</v>
      </c>
    </row>
    <row r="88" spans="1:66" x14ac:dyDescent="0.2">
      <c r="A88" s="2" t="s">
        <v>382</v>
      </c>
      <c r="B88" s="5" t="s">
        <v>383</v>
      </c>
      <c r="C88" s="2">
        <v>0</v>
      </c>
      <c r="D88" s="5" t="s">
        <v>384</v>
      </c>
      <c r="E88" s="2">
        <v>0</v>
      </c>
      <c r="F88" s="5" t="s">
        <v>385</v>
      </c>
      <c r="G88" s="2">
        <v>0</v>
      </c>
      <c r="H88" s="5" t="s">
        <v>232</v>
      </c>
      <c r="I88" s="2">
        <v>0</v>
      </c>
      <c r="J88" s="5" t="s">
        <v>386</v>
      </c>
      <c r="K88" s="2">
        <v>0</v>
      </c>
      <c r="L88" s="5" t="s">
        <v>387</v>
      </c>
      <c r="M88" s="2">
        <v>0</v>
      </c>
      <c r="N88" s="5" t="s">
        <v>388</v>
      </c>
      <c r="O88" s="2">
        <v>0</v>
      </c>
      <c r="P88" s="5" t="s">
        <v>52</v>
      </c>
      <c r="Q88" s="2">
        <v>0</v>
      </c>
      <c r="R88" s="5" t="s">
        <v>389</v>
      </c>
      <c r="S88" s="2">
        <v>0</v>
      </c>
      <c r="T88" s="5" t="s">
        <v>390</v>
      </c>
      <c r="U88" s="2">
        <v>0</v>
      </c>
      <c r="V88" s="5" t="s">
        <v>391</v>
      </c>
      <c r="W88" s="2">
        <v>0</v>
      </c>
      <c r="X88" s="5" t="s">
        <v>9</v>
      </c>
      <c r="Y88" s="2">
        <v>0</v>
      </c>
      <c r="Z88" s="5" t="s">
        <v>392</v>
      </c>
      <c r="AA88" s="2">
        <v>0</v>
      </c>
      <c r="AB88" s="4" t="s">
        <v>22</v>
      </c>
      <c r="AC88" s="2" t="b">
        <f t="shared" si="10"/>
        <v>0</v>
      </c>
      <c r="AE88" s="2">
        <f>(+C88+E88+M88+S88+U88+W88+AA88)</f>
        <v>0</v>
      </c>
      <c r="AF88" s="2">
        <f>(+E88+G88+M88+O88+S88+AA88)</f>
        <v>0</v>
      </c>
      <c r="AG88" s="2">
        <f>(+I88+S88+U88+Y88)</f>
        <v>0</v>
      </c>
      <c r="AH88" s="2">
        <f>(+G88+Y88+AA88)</f>
        <v>0</v>
      </c>
      <c r="AI88" s="2">
        <f>(+E88+I88+Q88+S88+W88+AA88)</f>
        <v>0</v>
      </c>
      <c r="AJ88" s="2">
        <f>(+E88+K88+M88+O88+S88+U88+W88)</f>
        <v>0</v>
      </c>
      <c r="AK88" s="2">
        <f>(+E88+I88+K88+M88+O88+S88+U88+W88)</f>
        <v>0</v>
      </c>
      <c r="AL88" s="2">
        <f>(+C88+E88+G88+K88+O88+U88+W88+AA88)</f>
        <v>0</v>
      </c>
      <c r="AM88" s="2">
        <f>(+E88+G88+M88+O88+S88+U88+W88+AA88)</f>
        <v>0</v>
      </c>
      <c r="AN88" s="2">
        <f>(+G88+K88+M88+S88+U88+W88+AA88)</f>
        <v>0</v>
      </c>
      <c r="AO88" s="4" t="s">
        <v>22</v>
      </c>
      <c r="AP88" s="2">
        <v>28</v>
      </c>
      <c r="AQ88" s="2">
        <v>53</v>
      </c>
      <c r="AR88" s="2">
        <v>26</v>
      </c>
      <c r="AS88" s="2">
        <v>19</v>
      </c>
      <c r="AT88" s="2">
        <v>48</v>
      </c>
      <c r="AU88" s="2">
        <v>53</v>
      </c>
      <c r="AV88" s="2">
        <v>72</v>
      </c>
      <c r="AW88" s="2">
        <v>63</v>
      </c>
      <c r="AX88" s="2">
        <v>58</v>
      </c>
      <c r="AY88" s="2">
        <v>41</v>
      </c>
      <c r="BA88" s="2">
        <f t="shared" si="11"/>
        <v>0</v>
      </c>
      <c r="BD88" s="10">
        <v>0</v>
      </c>
      <c r="BE88" s="2" t="b">
        <f t="shared" si="12"/>
        <v>0</v>
      </c>
      <c r="BF88" s="10">
        <v>0</v>
      </c>
      <c r="BG88" s="2" t="b">
        <f t="shared" si="7"/>
        <v>1</v>
      </c>
      <c r="BH88" s="10">
        <v>94</v>
      </c>
      <c r="BI88" s="2" t="b">
        <f t="shared" si="8"/>
        <v>0</v>
      </c>
      <c r="BJ88" s="10">
        <v>94</v>
      </c>
      <c r="BK88" s="2" t="b">
        <f t="shared" si="9"/>
        <v>1</v>
      </c>
    </row>
    <row r="89" spans="1:66" s="6" customFormat="1" x14ac:dyDescent="0.2">
      <c r="A89" s="6" t="s">
        <v>393</v>
      </c>
      <c r="B89" s="7" t="s">
        <v>38</v>
      </c>
      <c r="C89" s="6">
        <v>0</v>
      </c>
      <c r="D89" s="7" t="s">
        <v>50</v>
      </c>
      <c r="E89" s="6">
        <v>12</v>
      </c>
      <c r="F89" s="7" t="s">
        <v>9</v>
      </c>
      <c r="G89" s="6">
        <v>17</v>
      </c>
      <c r="H89" s="7" t="s">
        <v>39</v>
      </c>
      <c r="I89" s="6">
        <v>0</v>
      </c>
      <c r="J89" s="7" t="s">
        <v>7</v>
      </c>
      <c r="K89" s="6">
        <v>20</v>
      </c>
      <c r="L89" s="7"/>
      <c r="N89" s="7"/>
      <c r="P89" s="7"/>
      <c r="R89" s="7"/>
      <c r="T89" s="7"/>
      <c r="V89" s="7"/>
      <c r="X89" s="7"/>
      <c r="Z89" s="7"/>
      <c r="AB89" s="6" t="s">
        <v>22</v>
      </c>
      <c r="AC89" s="6" t="b">
        <f t="shared" si="10"/>
        <v>1</v>
      </c>
      <c r="AE89" s="6">
        <f>(+I89)</f>
        <v>0</v>
      </c>
      <c r="AF89" s="6">
        <f>(+C89+E89+I89+K89)</f>
        <v>32</v>
      </c>
      <c r="AG89" s="6">
        <f>(+E89+G89)</f>
        <v>29</v>
      </c>
      <c r="AH89" s="6">
        <f>(+E89+G89+I89+K89)</f>
        <v>49</v>
      </c>
      <c r="AO89" s="6" t="s">
        <v>22</v>
      </c>
      <c r="AP89" s="6">
        <v>0</v>
      </c>
      <c r="AQ89" s="6">
        <v>32</v>
      </c>
      <c r="AR89" s="6">
        <v>29</v>
      </c>
      <c r="AS89" s="6">
        <v>49</v>
      </c>
      <c r="BA89" s="6">
        <f t="shared" si="11"/>
        <v>49</v>
      </c>
      <c r="BB89" s="2"/>
      <c r="BC89" s="2"/>
      <c r="BD89" s="10">
        <v>49</v>
      </c>
      <c r="BE89" s="2" t="b">
        <f t="shared" si="12"/>
        <v>1</v>
      </c>
      <c r="BF89" s="10">
        <v>49</v>
      </c>
      <c r="BG89" s="2" t="b">
        <f t="shared" si="7"/>
        <v>1</v>
      </c>
      <c r="BH89" s="10">
        <v>49</v>
      </c>
      <c r="BI89" s="2" t="b">
        <f t="shared" si="8"/>
        <v>1</v>
      </c>
      <c r="BJ89" s="10">
        <v>49</v>
      </c>
      <c r="BK89" s="2" t="b">
        <f t="shared" si="9"/>
        <v>1</v>
      </c>
      <c r="BL89" s="2"/>
    </row>
    <row r="90" spans="1:66" x14ac:dyDescent="0.2">
      <c r="A90" s="2" t="s">
        <v>394</v>
      </c>
      <c r="B90" s="5" t="s">
        <v>40</v>
      </c>
      <c r="C90" s="2">
        <v>0</v>
      </c>
      <c r="D90" s="5" t="s">
        <v>6</v>
      </c>
      <c r="E90" s="2">
        <v>0</v>
      </c>
      <c r="F90" s="5" t="s">
        <v>43</v>
      </c>
      <c r="G90" s="2">
        <v>0</v>
      </c>
      <c r="H90" s="5" t="s">
        <v>171</v>
      </c>
      <c r="I90" s="2">
        <v>0</v>
      </c>
      <c r="J90" s="5" t="s">
        <v>46</v>
      </c>
      <c r="K90" s="2">
        <v>0</v>
      </c>
      <c r="L90" s="5" t="s">
        <v>24</v>
      </c>
      <c r="M90" s="2">
        <v>0</v>
      </c>
      <c r="N90" s="5" t="s">
        <v>290</v>
      </c>
      <c r="O90" s="2">
        <v>0</v>
      </c>
      <c r="AB90" s="4" t="s">
        <v>22</v>
      </c>
      <c r="AC90" s="2" t="b">
        <f t="shared" si="10"/>
        <v>0</v>
      </c>
      <c r="AE90" s="2">
        <f>(+C90+I90+K90)</f>
        <v>0</v>
      </c>
      <c r="AF90" s="2">
        <f>(+I90+K90+O90)</f>
        <v>0</v>
      </c>
      <c r="AG90" s="2">
        <f>(+C90+G90+I90+M90)</f>
        <v>0</v>
      </c>
      <c r="AH90" s="2">
        <f>(+C90+E90)</f>
        <v>0</v>
      </c>
      <c r="AI90" s="2">
        <f>(+G90+M90+O90)</f>
        <v>0</v>
      </c>
      <c r="AJ90" s="2">
        <f>(+G90+I90+K90+O90)</f>
        <v>0</v>
      </c>
      <c r="AO90" s="4" t="s">
        <v>22</v>
      </c>
      <c r="AP90" s="2">
        <v>25</v>
      </c>
      <c r="AQ90" s="2">
        <v>25</v>
      </c>
      <c r="AR90" s="2">
        <v>35</v>
      </c>
      <c r="AS90" s="2">
        <v>17</v>
      </c>
      <c r="AT90" s="2">
        <v>19</v>
      </c>
      <c r="AU90" s="2">
        <v>44</v>
      </c>
      <c r="BA90" s="2">
        <f t="shared" si="11"/>
        <v>0</v>
      </c>
      <c r="BD90" s="10">
        <v>61</v>
      </c>
      <c r="BE90" s="2" t="b">
        <f t="shared" si="12"/>
        <v>0</v>
      </c>
      <c r="BF90" s="10">
        <v>61</v>
      </c>
      <c r="BG90" s="2" t="b">
        <f t="shared" si="7"/>
        <v>1</v>
      </c>
      <c r="BH90" s="10">
        <v>61</v>
      </c>
      <c r="BI90" s="2" t="b">
        <f t="shared" si="8"/>
        <v>1</v>
      </c>
      <c r="BJ90" s="10">
        <v>61</v>
      </c>
      <c r="BK90" s="2" t="b">
        <f t="shared" si="9"/>
        <v>1</v>
      </c>
    </row>
    <row r="91" spans="1:66" x14ac:dyDescent="0.2">
      <c r="A91" s="2" t="s">
        <v>395</v>
      </c>
      <c r="B91" s="5" t="s">
        <v>11</v>
      </c>
      <c r="C91" s="2">
        <v>0</v>
      </c>
      <c r="D91" s="5" t="s">
        <v>10</v>
      </c>
      <c r="E91" s="2">
        <v>0</v>
      </c>
      <c r="F91" s="5" t="s">
        <v>15</v>
      </c>
      <c r="G91" s="2">
        <v>0</v>
      </c>
      <c r="H91" s="5" t="s">
        <v>7</v>
      </c>
      <c r="I91" s="2">
        <v>0</v>
      </c>
      <c r="AB91" s="4" t="s">
        <v>22</v>
      </c>
      <c r="AC91" s="2" t="b">
        <f t="shared" si="10"/>
        <v>0</v>
      </c>
      <c r="AE91" s="2">
        <f>(+C91+E91+G91)</f>
        <v>0</v>
      </c>
      <c r="AF91" s="2">
        <f>(+C91+G91+I91)</f>
        <v>0</v>
      </c>
      <c r="AG91" s="2">
        <f>(+E91+G91)</f>
        <v>0</v>
      </c>
      <c r="AH91" s="2">
        <f>(+I91)</f>
        <v>0</v>
      </c>
      <c r="AO91" s="4" t="s">
        <v>22</v>
      </c>
      <c r="AP91" s="2">
        <v>37</v>
      </c>
      <c r="AQ91" s="2">
        <v>28</v>
      </c>
      <c r="AR91" s="2">
        <v>33</v>
      </c>
      <c r="AS91" s="2">
        <v>7</v>
      </c>
      <c r="BA91" s="2">
        <f t="shared" si="11"/>
        <v>0</v>
      </c>
      <c r="BD91" s="10">
        <v>44</v>
      </c>
      <c r="BE91" s="2" t="b">
        <f t="shared" si="12"/>
        <v>0</v>
      </c>
      <c r="BF91" s="10">
        <v>44</v>
      </c>
      <c r="BG91" s="2" t="b">
        <f t="shared" si="7"/>
        <v>1</v>
      </c>
      <c r="BH91" s="10">
        <v>44</v>
      </c>
      <c r="BI91" s="2" t="b">
        <f t="shared" si="8"/>
        <v>1</v>
      </c>
      <c r="BJ91" s="10">
        <v>44</v>
      </c>
      <c r="BK91" s="2" t="b">
        <f t="shared" si="9"/>
        <v>1</v>
      </c>
    </row>
    <row r="92" spans="1:66" x14ac:dyDescent="0.2">
      <c r="A92" s="2" t="s">
        <v>396</v>
      </c>
      <c r="B92" s="5" t="s">
        <v>27</v>
      </c>
      <c r="C92" s="2">
        <v>0</v>
      </c>
      <c r="D92" s="5" t="s">
        <v>278</v>
      </c>
      <c r="E92" s="2">
        <v>0</v>
      </c>
      <c r="F92" s="5" t="s">
        <v>348</v>
      </c>
      <c r="G92" s="2">
        <v>0</v>
      </c>
      <c r="H92" s="5" t="s">
        <v>33</v>
      </c>
      <c r="I92" s="2">
        <v>0</v>
      </c>
      <c r="J92" s="5" t="s">
        <v>114</v>
      </c>
      <c r="K92" s="2">
        <v>0</v>
      </c>
      <c r="L92" s="5" t="s">
        <v>232</v>
      </c>
      <c r="M92" s="2">
        <v>0</v>
      </c>
      <c r="N92" s="5" t="s">
        <v>16</v>
      </c>
      <c r="O92" s="2">
        <v>0</v>
      </c>
      <c r="P92" s="5" t="s">
        <v>55</v>
      </c>
      <c r="Q92" s="2">
        <v>0</v>
      </c>
      <c r="R92" s="5" t="s">
        <v>116</v>
      </c>
      <c r="S92" s="2">
        <v>0</v>
      </c>
      <c r="AB92" s="4" t="s">
        <v>22</v>
      </c>
      <c r="AC92" s="2" t="b">
        <f t="shared" si="10"/>
        <v>0</v>
      </c>
      <c r="AE92" s="2">
        <f>(+C92+G92+I92+K92+Q92)</f>
        <v>0</v>
      </c>
      <c r="AF92" s="2">
        <f>(+C92+G92+K92+O92+Q92+S92)</f>
        <v>0</v>
      </c>
      <c r="AG92" s="2">
        <f>(+C92+I92+K92+M92+O92+Q92+S92)</f>
        <v>0</v>
      </c>
      <c r="AH92" s="2">
        <f>(+C92+I92+K92+O92+Q92+S92)</f>
        <v>0</v>
      </c>
      <c r="AI92" s="2">
        <f>(+E92+G92+I92+M92+O92+S92)</f>
        <v>0</v>
      </c>
      <c r="AJ92" s="2">
        <f>(+G92+I92+K92+Q92+S92)</f>
        <v>0</v>
      </c>
      <c r="AK92" s="2">
        <f>(+E92+G92+I92+M92+Q92)</f>
        <v>0</v>
      </c>
      <c r="AO92" s="4" t="s">
        <v>22</v>
      </c>
      <c r="AP92" s="2">
        <v>39</v>
      </c>
      <c r="AQ92" s="2">
        <v>61</v>
      </c>
      <c r="AR92" s="2">
        <v>60</v>
      </c>
      <c r="AS92" s="2">
        <v>55</v>
      </c>
      <c r="AT92" s="2">
        <v>45</v>
      </c>
      <c r="AU92" s="2">
        <v>43</v>
      </c>
      <c r="AV92" s="2">
        <v>35</v>
      </c>
      <c r="BA92" s="2">
        <f t="shared" si="11"/>
        <v>0</v>
      </c>
      <c r="BD92" s="10">
        <v>0</v>
      </c>
      <c r="BE92" s="2" t="b">
        <f t="shared" si="12"/>
        <v>0</v>
      </c>
      <c r="BF92" s="10">
        <v>0</v>
      </c>
      <c r="BG92" s="2" t="b">
        <f t="shared" si="7"/>
        <v>1</v>
      </c>
      <c r="BH92" s="10">
        <v>0</v>
      </c>
      <c r="BI92" s="2" t="b">
        <f t="shared" si="8"/>
        <v>1</v>
      </c>
      <c r="BJ92" s="10">
        <v>70</v>
      </c>
      <c r="BK92" s="2" t="b">
        <f t="shared" si="9"/>
        <v>0</v>
      </c>
    </row>
    <row r="93" spans="1:66" x14ac:dyDescent="0.2">
      <c r="A93" s="2" t="s">
        <v>397</v>
      </c>
      <c r="B93" s="5" t="s">
        <v>398</v>
      </c>
      <c r="C93" s="2">
        <v>0</v>
      </c>
      <c r="D93" s="5" t="s">
        <v>399</v>
      </c>
      <c r="E93" s="2">
        <v>0</v>
      </c>
      <c r="F93" s="5" t="s">
        <v>400</v>
      </c>
      <c r="G93" s="2">
        <v>0</v>
      </c>
      <c r="H93" s="5" t="s">
        <v>401</v>
      </c>
      <c r="I93" s="2">
        <v>0</v>
      </c>
      <c r="J93" s="5" t="s">
        <v>349</v>
      </c>
      <c r="K93" s="2">
        <v>0</v>
      </c>
      <c r="L93" s="5" t="s">
        <v>402</v>
      </c>
      <c r="M93" s="2">
        <v>0</v>
      </c>
      <c r="N93" s="5" t="s">
        <v>403</v>
      </c>
      <c r="O93" s="2">
        <v>0</v>
      </c>
      <c r="P93" s="5" t="s">
        <v>404</v>
      </c>
      <c r="Q93" s="2">
        <v>0</v>
      </c>
      <c r="R93" s="5" t="s">
        <v>405</v>
      </c>
      <c r="S93" s="2">
        <v>0</v>
      </c>
      <c r="T93" s="5" t="s">
        <v>406</v>
      </c>
      <c r="U93" s="2">
        <v>0</v>
      </c>
      <c r="V93" s="5" t="s">
        <v>407</v>
      </c>
      <c r="W93" s="2">
        <v>0</v>
      </c>
      <c r="X93" s="5" t="s">
        <v>408</v>
      </c>
      <c r="Y93" s="2">
        <v>0</v>
      </c>
      <c r="AB93" s="4" t="s">
        <v>22</v>
      </c>
      <c r="AC93" s="2" t="b">
        <f t="shared" si="10"/>
        <v>0</v>
      </c>
      <c r="AE93" s="2">
        <f>(+C93+I93+U93)</f>
        <v>0</v>
      </c>
      <c r="AF93" s="2">
        <f>(+E93+G93+I93+M93+U93+W93+Y93)</f>
        <v>0</v>
      </c>
      <c r="AG93" s="2">
        <f>(+E93+G93+I93+U93)</f>
        <v>0</v>
      </c>
      <c r="AH93" s="2">
        <f>(+Q93+W93)</f>
        <v>0</v>
      </c>
      <c r="AI93" s="2">
        <f>(+G93+I93+M93+Q93+U93+W93+Y93)</f>
        <v>0</v>
      </c>
      <c r="AJ93" s="2">
        <f>(+K93+M93+S93+U93+Y93)</f>
        <v>0</v>
      </c>
      <c r="AK93" s="2">
        <f>(+C93+E93+G93+I93+Q93+W93)</f>
        <v>0</v>
      </c>
      <c r="AL93" s="2">
        <f>(+G93+O93+U93+Y93)</f>
        <v>0</v>
      </c>
      <c r="AM93" s="2">
        <f>(+G93+I93+K93+S93+U93)</f>
        <v>0</v>
      </c>
      <c r="AN93" s="2">
        <f>(+C93+E93+G93+I93+M93+O93+S93+W93+Y93)</f>
        <v>0</v>
      </c>
      <c r="AO93" s="4" t="s">
        <v>22</v>
      </c>
      <c r="AP93" s="2">
        <v>28</v>
      </c>
      <c r="AQ93" s="2">
        <v>78</v>
      </c>
      <c r="AR93" s="2">
        <v>45</v>
      </c>
      <c r="AS93" s="2">
        <v>32</v>
      </c>
      <c r="AT93" s="2">
        <v>93</v>
      </c>
      <c r="AU93" s="2">
        <v>59</v>
      </c>
      <c r="AV93" s="2">
        <v>68</v>
      </c>
      <c r="AW93" s="2">
        <v>43</v>
      </c>
      <c r="AX93" s="2">
        <v>68</v>
      </c>
      <c r="AY93" s="2">
        <v>90</v>
      </c>
      <c r="BA93" s="2">
        <f t="shared" si="11"/>
        <v>0</v>
      </c>
      <c r="BD93" s="10">
        <v>0</v>
      </c>
      <c r="BE93" s="2" t="b">
        <f t="shared" si="12"/>
        <v>0</v>
      </c>
      <c r="BF93" s="10">
        <v>0</v>
      </c>
      <c r="BG93" s="2" t="b">
        <f t="shared" si="7"/>
        <v>1</v>
      </c>
      <c r="BH93" s="10">
        <v>127</v>
      </c>
      <c r="BI93" s="2" t="b">
        <f t="shared" si="8"/>
        <v>0</v>
      </c>
      <c r="BJ93" s="10">
        <v>127</v>
      </c>
      <c r="BK93" s="2" t="b">
        <f t="shared" si="9"/>
        <v>1</v>
      </c>
    </row>
    <row r="94" spans="1:66" x14ac:dyDescent="0.2">
      <c r="A94" s="2" t="s">
        <v>409</v>
      </c>
      <c r="B94" s="5" t="s">
        <v>410</v>
      </c>
      <c r="C94" s="2">
        <v>0</v>
      </c>
      <c r="D94" s="5" t="s">
        <v>176</v>
      </c>
      <c r="E94" s="2">
        <v>0</v>
      </c>
      <c r="F94" s="5" t="s">
        <v>187</v>
      </c>
      <c r="G94" s="2">
        <v>0</v>
      </c>
      <c r="H94" s="5" t="s">
        <v>115</v>
      </c>
      <c r="I94" s="2">
        <v>0</v>
      </c>
      <c r="J94" s="5" t="s">
        <v>52</v>
      </c>
      <c r="K94" s="2">
        <v>0</v>
      </c>
      <c r="L94" s="5" t="s">
        <v>154</v>
      </c>
      <c r="M94" s="2">
        <v>0</v>
      </c>
      <c r="N94" s="5" t="s">
        <v>7</v>
      </c>
      <c r="O94" s="2">
        <v>0</v>
      </c>
      <c r="AB94" s="4" t="s">
        <v>22</v>
      </c>
      <c r="AC94" s="2" t="b">
        <f t="shared" si="10"/>
        <v>0</v>
      </c>
      <c r="AE94" s="2">
        <f>(+M94)</f>
        <v>0</v>
      </c>
      <c r="AF94" s="2">
        <f>(+C94+E94+I94+O94)</f>
        <v>0</v>
      </c>
      <c r="AG94" s="2">
        <f>(+C94+E94+G94+M94)</f>
        <v>0</v>
      </c>
      <c r="AH94" s="2">
        <f>(+E94+G94+O94)</f>
        <v>0</v>
      </c>
      <c r="AI94" s="2">
        <f>(+G94+K94)</f>
        <v>0</v>
      </c>
      <c r="AJ94" s="2">
        <f>(+E94+G94+I94)</f>
        <v>0</v>
      </c>
      <c r="AK94" s="2">
        <f>(+C94+E94+M94)</f>
        <v>0</v>
      </c>
      <c r="AL94" s="2">
        <f>(+C94+E94+G94+M94)</f>
        <v>0</v>
      </c>
      <c r="AO94" s="4" t="s">
        <v>22</v>
      </c>
      <c r="AP94" s="2">
        <v>13</v>
      </c>
      <c r="AQ94" s="2">
        <v>34</v>
      </c>
      <c r="AR94" s="2">
        <v>32</v>
      </c>
      <c r="AS94" s="2">
        <v>31</v>
      </c>
      <c r="AT94" s="2">
        <v>11</v>
      </c>
      <c r="AU94" s="2">
        <v>28</v>
      </c>
      <c r="AV94" s="2">
        <v>24</v>
      </c>
      <c r="AW94" s="2">
        <v>32</v>
      </c>
      <c r="BA94" s="2">
        <f t="shared" si="11"/>
        <v>0</v>
      </c>
      <c r="BD94" s="10">
        <v>58</v>
      </c>
      <c r="BE94" s="2" t="b">
        <f t="shared" si="12"/>
        <v>0</v>
      </c>
      <c r="BF94" s="10">
        <v>58</v>
      </c>
      <c r="BG94" s="2" t="b">
        <f t="shared" si="7"/>
        <v>1</v>
      </c>
      <c r="BH94" s="10">
        <v>58</v>
      </c>
      <c r="BI94" s="2" t="b">
        <f t="shared" si="8"/>
        <v>1</v>
      </c>
      <c r="BJ94" s="10">
        <v>58</v>
      </c>
      <c r="BK94" s="2" t="b">
        <f t="shared" si="9"/>
        <v>1</v>
      </c>
    </row>
    <row r="95" spans="1:66" x14ac:dyDescent="0.2">
      <c r="A95" s="2" t="s">
        <v>411</v>
      </c>
      <c r="B95" s="5" t="s">
        <v>28</v>
      </c>
      <c r="C95" s="2">
        <v>0</v>
      </c>
      <c r="D95" s="5" t="s">
        <v>133</v>
      </c>
      <c r="E95" s="2">
        <v>0</v>
      </c>
      <c r="F95" s="5" t="s">
        <v>306</v>
      </c>
      <c r="G95" s="2">
        <v>0</v>
      </c>
      <c r="H95" s="5" t="s">
        <v>44</v>
      </c>
      <c r="I95" s="2">
        <v>0</v>
      </c>
      <c r="J95" s="5" t="s">
        <v>290</v>
      </c>
      <c r="K95" s="2">
        <v>0</v>
      </c>
      <c r="L95" s="5" t="s">
        <v>309</v>
      </c>
      <c r="M95" s="2">
        <v>0</v>
      </c>
      <c r="AB95" s="4" t="s">
        <v>22</v>
      </c>
      <c r="AC95" s="2" t="b">
        <f t="shared" si="10"/>
        <v>0</v>
      </c>
      <c r="AE95" s="2">
        <f>(+E95+G95)</f>
        <v>0</v>
      </c>
      <c r="AF95" s="2">
        <f>(+C95+E95+K95)</f>
        <v>0</v>
      </c>
      <c r="AG95" s="2">
        <f>(+E95+G95+M95)</f>
        <v>0</v>
      </c>
      <c r="AH95" s="2">
        <f>(+C95+E95+M95)</f>
        <v>0</v>
      </c>
      <c r="AI95" s="2">
        <f>(+C95+E95+G95+I95+K95)</f>
        <v>0</v>
      </c>
      <c r="AJ95" s="2">
        <f>(+C95+G95+I95+K95+M95)</f>
        <v>0</v>
      </c>
      <c r="AK95" s="2">
        <f>(+E95+G95+M95)</f>
        <v>0</v>
      </c>
      <c r="AO95" s="4" t="s">
        <v>22</v>
      </c>
      <c r="AP95" s="2">
        <v>17</v>
      </c>
      <c r="AQ95" s="2">
        <v>18</v>
      </c>
      <c r="AR95" s="2">
        <v>17</v>
      </c>
      <c r="AS95" s="2">
        <v>12</v>
      </c>
      <c r="AT95" s="2">
        <v>30</v>
      </c>
      <c r="AU95" s="2">
        <v>23</v>
      </c>
      <c r="AV95" s="2">
        <v>17</v>
      </c>
      <c r="BA95" s="2">
        <f t="shared" si="11"/>
        <v>0</v>
      </c>
      <c r="BD95" s="10">
        <v>30</v>
      </c>
      <c r="BE95" s="2" t="b">
        <f t="shared" si="12"/>
        <v>0</v>
      </c>
      <c r="BF95" s="10">
        <v>30</v>
      </c>
      <c r="BG95" s="2" t="b">
        <f t="shared" si="7"/>
        <v>1</v>
      </c>
      <c r="BH95" s="10">
        <v>30</v>
      </c>
      <c r="BI95" s="2" t="b">
        <f t="shared" si="8"/>
        <v>1</v>
      </c>
      <c r="BJ95" s="10">
        <v>30</v>
      </c>
      <c r="BK95" s="2" t="b">
        <f t="shared" si="9"/>
        <v>1</v>
      </c>
    </row>
    <row r="96" spans="1:66" x14ac:dyDescent="0.2">
      <c r="A96" s="2" t="s">
        <v>412</v>
      </c>
      <c r="B96" s="5" t="s">
        <v>180</v>
      </c>
      <c r="C96" s="2">
        <v>0</v>
      </c>
      <c r="D96" s="5" t="s">
        <v>413</v>
      </c>
      <c r="E96" s="2">
        <v>0</v>
      </c>
      <c r="F96" s="5" t="s">
        <v>414</v>
      </c>
      <c r="G96" s="2">
        <v>0</v>
      </c>
      <c r="H96" s="5" t="s">
        <v>415</v>
      </c>
      <c r="I96" s="2">
        <v>0</v>
      </c>
      <c r="J96" s="5" t="s">
        <v>245</v>
      </c>
      <c r="K96" s="2">
        <v>0</v>
      </c>
      <c r="L96" s="5" t="s">
        <v>416</v>
      </c>
      <c r="M96" s="2">
        <v>0</v>
      </c>
      <c r="N96" s="5" t="s">
        <v>322</v>
      </c>
      <c r="O96" s="2">
        <v>0</v>
      </c>
      <c r="P96" s="5" t="s">
        <v>417</v>
      </c>
      <c r="Q96" s="2">
        <v>0</v>
      </c>
      <c r="R96" s="5" t="s">
        <v>418</v>
      </c>
      <c r="S96" s="2">
        <v>0</v>
      </c>
      <c r="T96" s="5" t="s">
        <v>211</v>
      </c>
      <c r="U96" s="2">
        <v>0</v>
      </c>
      <c r="V96" s="5" t="s">
        <v>171</v>
      </c>
      <c r="W96" s="2">
        <v>0</v>
      </c>
      <c r="AB96" s="4" t="s">
        <v>22</v>
      </c>
      <c r="AC96" s="2" t="b">
        <f t="shared" si="10"/>
        <v>0</v>
      </c>
      <c r="AE96" s="2">
        <f>(+C96+I96+K96+S96+U96+W96)</f>
        <v>0</v>
      </c>
      <c r="AF96" s="2">
        <f>(+E96+G96+O96+Q96+S96+U96+W96)</f>
        <v>0</v>
      </c>
      <c r="AG96" s="2">
        <f>(+E96+G96+I96+K96+S96+U96+W96)</f>
        <v>0</v>
      </c>
      <c r="AH96" s="2">
        <f>(+C96+E96+O96+Q96+S96)</f>
        <v>0</v>
      </c>
      <c r="AI96" s="2">
        <f>(+C96+E96+M96+S96+U96)</f>
        <v>0</v>
      </c>
      <c r="AJ96" s="2">
        <f>(+C96+E96+G96+I96+K96+S96+U96+W96)</f>
        <v>0</v>
      </c>
      <c r="AK96" s="2">
        <f>(+C96+E96+I96+Q96+S96+U96)</f>
        <v>0</v>
      </c>
      <c r="AL96" s="2">
        <f>(+C96+G96+I96+M96+Q96+S96)</f>
        <v>0</v>
      </c>
      <c r="AM96" s="2">
        <f>(+E96+I96+M96+O96+Q96+U96)</f>
        <v>0</v>
      </c>
      <c r="AO96" s="4" t="s">
        <v>22</v>
      </c>
      <c r="AP96" s="2">
        <v>196</v>
      </c>
      <c r="AQ96" s="2">
        <v>232</v>
      </c>
      <c r="AR96" s="2">
        <v>215</v>
      </c>
      <c r="AS96" s="2">
        <v>212</v>
      </c>
      <c r="AT96" s="2">
        <v>207</v>
      </c>
      <c r="AU96" s="2">
        <v>222</v>
      </c>
      <c r="AV96" s="2">
        <v>205</v>
      </c>
      <c r="AW96" s="2">
        <v>195</v>
      </c>
      <c r="AX96" s="2">
        <v>72</v>
      </c>
      <c r="BA96" s="2">
        <f t="shared" si="11"/>
        <v>0</v>
      </c>
      <c r="BD96" s="10">
        <v>0</v>
      </c>
      <c r="BE96" s="2" t="b">
        <f t="shared" si="12"/>
        <v>0</v>
      </c>
      <c r="BF96" s="10">
        <v>0</v>
      </c>
      <c r="BG96" s="2" t="b">
        <f t="shared" si="7"/>
        <v>1</v>
      </c>
      <c r="BH96" s="10">
        <v>0</v>
      </c>
      <c r="BI96" s="2" t="b">
        <f t="shared" si="8"/>
        <v>1</v>
      </c>
      <c r="BJ96" s="10">
        <v>258</v>
      </c>
      <c r="BK96" s="2" t="b">
        <f t="shared" si="9"/>
        <v>0</v>
      </c>
      <c r="BL96" s="2">
        <v>258</v>
      </c>
      <c r="BM96" s="2" t="s">
        <v>676</v>
      </c>
      <c r="BN96" s="2" t="s">
        <v>677</v>
      </c>
    </row>
    <row r="97" spans="1:64" s="6" customFormat="1" x14ac:dyDescent="0.2">
      <c r="A97" s="6" t="s">
        <v>419</v>
      </c>
      <c r="B97" s="7" t="s">
        <v>8</v>
      </c>
      <c r="C97" s="6">
        <v>11</v>
      </c>
      <c r="D97" s="7" t="s">
        <v>47</v>
      </c>
      <c r="E97" s="6">
        <v>15</v>
      </c>
      <c r="F97" s="7" t="s">
        <v>21</v>
      </c>
      <c r="G97" s="6">
        <v>19</v>
      </c>
      <c r="H97" s="7"/>
      <c r="J97" s="7"/>
      <c r="L97" s="7"/>
      <c r="N97" s="7"/>
      <c r="P97" s="7"/>
      <c r="R97" s="7"/>
      <c r="T97" s="7"/>
      <c r="V97" s="7"/>
      <c r="X97" s="7"/>
      <c r="Z97" s="7"/>
      <c r="AB97" s="6" t="s">
        <v>22</v>
      </c>
      <c r="AC97" s="6" t="b">
        <f t="shared" si="10"/>
        <v>1</v>
      </c>
      <c r="AE97" s="6">
        <f>(+E97)</f>
        <v>15</v>
      </c>
      <c r="AF97" s="6">
        <f>(+G97)</f>
        <v>19</v>
      </c>
      <c r="AG97" s="6">
        <f>(+C97+G97)</f>
        <v>30</v>
      </c>
      <c r="AH97" s="6">
        <f>(+E97)</f>
        <v>15</v>
      </c>
      <c r="AO97" s="6" t="s">
        <v>22</v>
      </c>
      <c r="AP97" s="6">
        <v>15</v>
      </c>
      <c r="AQ97" s="6">
        <v>19</v>
      </c>
      <c r="AR97" s="6">
        <v>30</v>
      </c>
      <c r="AS97" s="6">
        <v>15</v>
      </c>
      <c r="BA97" s="6">
        <f t="shared" si="11"/>
        <v>45</v>
      </c>
      <c r="BB97" s="2"/>
      <c r="BC97" s="2"/>
      <c r="BD97" s="10">
        <v>45</v>
      </c>
      <c r="BE97" s="2" t="b">
        <f t="shared" si="12"/>
        <v>1</v>
      </c>
      <c r="BF97" s="10">
        <v>45</v>
      </c>
      <c r="BG97" s="2" t="b">
        <f t="shared" si="7"/>
        <v>1</v>
      </c>
      <c r="BH97" s="10">
        <v>45</v>
      </c>
      <c r="BI97" s="2" t="b">
        <f t="shared" si="8"/>
        <v>1</v>
      </c>
      <c r="BJ97" s="10">
        <v>45</v>
      </c>
      <c r="BK97" s="2" t="b">
        <f t="shared" si="9"/>
        <v>1</v>
      </c>
      <c r="BL97" s="2"/>
    </row>
    <row r="98" spans="1:64" x14ac:dyDescent="0.2">
      <c r="A98" s="2" t="s">
        <v>420</v>
      </c>
      <c r="B98" s="5" t="s">
        <v>11</v>
      </c>
      <c r="C98" s="2">
        <v>0</v>
      </c>
      <c r="D98" s="5" t="s">
        <v>13</v>
      </c>
      <c r="E98" s="2">
        <v>0</v>
      </c>
      <c r="F98" s="5" t="s">
        <v>21</v>
      </c>
      <c r="G98" s="2">
        <v>0</v>
      </c>
      <c r="H98" s="5" t="s">
        <v>25</v>
      </c>
      <c r="I98" s="2">
        <v>0</v>
      </c>
      <c r="AB98" s="4" t="s">
        <v>22</v>
      </c>
      <c r="AC98" s="2" t="b">
        <f t="shared" si="10"/>
        <v>0</v>
      </c>
      <c r="AE98" s="2">
        <f>(+C98+E98)</f>
        <v>0</v>
      </c>
      <c r="AF98" s="2">
        <f>(+C98+G98)</f>
        <v>0</v>
      </c>
      <c r="AG98" s="2">
        <f>(+E98+G98)</f>
        <v>0</v>
      </c>
      <c r="AH98" s="2">
        <f>(+E98+I98)</f>
        <v>0</v>
      </c>
      <c r="AI98" s="2">
        <f>(+E98+I98)</f>
        <v>0</v>
      </c>
      <c r="AO98" s="4" t="s">
        <v>22</v>
      </c>
      <c r="AP98" s="2">
        <v>14</v>
      </c>
      <c r="AQ98" s="2">
        <v>19</v>
      </c>
      <c r="AR98" s="2">
        <v>25</v>
      </c>
      <c r="AS98" s="2">
        <v>26</v>
      </c>
      <c r="AT98" s="2">
        <v>26</v>
      </c>
      <c r="BA98" s="2">
        <f t="shared" si="11"/>
        <v>0</v>
      </c>
      <c r="BD98" s="10">
        <v>45</v>
      </c>
      <c r="BE98" s="2" t="b">
        <f t="shared" si="12"/>
        <v>0</v>
      </c>
      <c r="BF98" s="10">
        <v>45</v>
      </c>
      <c r="BG98" s="2" t="b">
        <f t="shared" si="7"/>
        <v>1</v>
      </c>
      <c r="BH98" s="10">
        <v>45</v>
      </c>
      <c r="BI98" s="2" t="b">
        <f t="shared" si="8"/>
        <v>1</v>
      </c>
      <c r="BJ98" s="10">
        <v>45</v>
      </c>
      <c r="BK98" s="2" t="b">
        <f t="shared" si="9"/>
        <v>1</v>
      </c>
    </row>
    <row r="99" spans="1:64" s="6" customFormat="1" x14ac:dyDescent="0.2">
      <c r="A99" s="6" t="s">
        <v>421</v>
      </c>
      <c r="B99" s="7" t="s">
        <v>40</v>
      </c>
      <c r="C99" s="6">
        <v>14</v>
      </c>
      <c r="D99" s="7" t="s">
        <v>27</v>
      </c>
      <c r="E99" s="6">
        <v>6</v>
      </c>
      <c r="F99" s="7"/>
      <c r="H99" s="7"/>
      <c r="J99" s="7"/>
      <c r="L99" s="7"/>
      <c r="N99" s="7"/>
      <c r="P99" s="7"/>
      <c r="R99" s="7"/>
      <c r="T99" s="7"/>
      <c r="V99" s="7"/>
      <c r="X99" s="7"/>
      <c r="Z99" s="7"/>
      <c r="AB99" s="6" t="s">
        <v>22</v>
      </c>
      <c r="AC99" s="6" t="b">
        <f t="shared" si="10"/>
        <v>1</v>
      </c>
      <c r="AE99" s="6">
        <f>(+C99+E99)</f>
        <v>20</v>
      </c>
      <c r="AF99" s="6">
        <f>(+E99)</f>
        <v>6</v>
      </c>
      <c r="AG99" s="6">
        <f>(+C99+E99)</f>
        <v>20</v>
      </c>
      <c r="AH99" s="6">
        <f>(+C99+E99)</f>
        <v>20</v>
      </c>
      <c r="AO99" s="6" t="s">
        <v>22</v>
      </c>
      <c r="AP99" s="6">
        <v>20</v>
      </c>
      <c r="AQ99" s="6">
        <v>6</v>
      </c>
      <c r="AR99" s="6">
        <v>20</v>
      </c>
      <c r="AS99" s="6">
        <v>20</v>
      </c>
      <c r="BA99" s="6">
        <f t="shared" si="11"/>
        <v>20</v>
      </c>
      <c r="BB99" s="2"/>
      <c r="BC99" s="2"/>
      <c r="BD99" s="10">
        <v>20</v>
      </c>
      <c r="BE99" s="2" t="b">
        <f t="shared" si="12"/>
        <v>1</v>
      </c>
      <c r="BF99" s="10">
        <v>20</v>
      </c>
      <c r="BG99" s="2" t="b">
        <f t="shared" si="7"/>
        <v>1</v>
      </c>
      <c r="BH99" s="10">
        <v>20</v>
      </c>
      <c r="BI99" s="2" t="b">
        <f t="shared" si="8"/>
        <v>1</v>
      </c>
      <c r="BJ99" s="10">
        <v>20</v>
      </c>
      <c r="BK99" s="2" t="b">
        <f t="shared" si="9"/>
        <v>1</v>
      </c>
      <c r="BL99" s="2"/>
    </row>
    <row r="100" spans="1:64" x14ac:dyDescent="0.2">
      <c r="A100" s="2" t="s">
        <v>422</v>
      </c>
      <c r="B100" s="5" t="s">
        <v>121</v>
      </c>
      <c r="C100" s="2">
        <v>0</v>
      </c>
      <c r="D100" s="5" t="s">
        <v>423</v>
      </c>
      <c r="E100" s="2">
        <v>0</v>
      </c>
      <c r="F100" s="5" t="s">
        <v>14</v>
      </c>
      <c r="G100" s="2">
        <v>0</v>
      </c>
      <c r="H100" s="5" t="s">
        <v>46</v>
      </c>
      <c r="I100" s="2">
        <v>0</v>
      </c>
      <c r="J100" s="5" t="s">
        <v>149</v>
      </c>
      <c r="K100" s="2">
        <v>0</v>
      </c>
      <c r="L100" s="5" t="s">
        <v>90</v>
      </c>
      <c r="M100" s="2">
        <v>0</v>
      </c>
      <c r="N100" s="5" t="s">
        <v>280</v>
      </c>
      <c r="O100" s="2">
        <v>0</v>
      </c>
      <c r="AB100" s="4" t="s">
        <v>22</v>
      </c>
      <c r="AC100" s="2" t="b">
        <f t="shared" si="10"/>
        <v>0</v>
      </c>
      <c r="AE100" s="2">
        <f>(+C100+G100+I100+O100)</f>
        <v>0</v>
      </c>
      <c r="AF100" s="2">
        <f>(+I100+M100+O100)</f>
        <v>0</v>
      </c>
      <c r="AG100" s="2">
        <f>(+C100+K100+O100)</f>
        <v>0</v>
      </c>
      <c r="AH100" s="2">
        <f>(+C100+O100)</f>
        <v>0</v>
      </c>
      <c r="AI100" s="2">
        <f>(+G100+K100+M100+O100)</f>
        <v>0</v>
      </c>
      <c r="AJ100" s="2">
        <f>(+E100+I100+K100+O100)</f>
        <v>0</v>
      </c>
      <c r="AK100" s="2">
        <f>(+C100+K100+M100)</f>
        <v>0</v>
      </c>
      <c r="AL100" s="2">
        <f>(+C100)</f>
        <v>0</v>
      </c>
      <c r="AO100" s="4" t="s">
        <v>22</v>
      </c>
      <c r="AP100" s="2">
        <v>59</v>
      </c>
      <c r="AQ100" s="2">
        <v>47</v>
      </c>
      <c r="AR100" s="2">
        <v>35</v>
      </c>
      <c r="AS100" s="2">
        <v>30</v>
      </c>
      <c r="AT100" s="2">
        <v>43</v>
      </c>
      <c r="AU100" s="2">
        <v>52</v>
      </c>
      <c r="AV100" s="2">
        <v>25</v>
      </c>
      <c r="AW100" s="2">
        <v>11</v>
      </c>
      <c r="BA100" s="2">
        <f t="shared" si="11"/>
        <v>0</v>
      </c>
      <c r="BD100" s="10">
        <v>82</v>
      </c>
      <c r="BE100" s="2" t="b">
        <f t="shared" si="12"/>
        <v>0</v>
      </c>
      <c r="BF100" s="10">
        <v>82</v>
      </c>
      <c r="BG100" s="2" t="b">
        <f t="shared" si="7"/>
        <v>1</v>
      </c>
      <c r="BH100" s="10">
        <v>82</v>
      </c>
      <c r="BI100" s="2" t="b">
        <f t="shared" si="8"/>
        <v>1</v>
      </c>
      <c r="BJ100" s="10">
        <v>82</v>
      </c>
      <c r="BK100" s="2" t="b">
        <f t="shared" si="9"/>
        <v>1</v>
      </c>
    </row>
    <row r="101" spans="1:64" s="6" customFormat="1" x14ac:dyDescent="0.2">
      <c r="A101" s="6" t="s">
        <v>424</v>
      </c>
      <c r="B101" s="7" t="s">
        <v>21</v>
      </c>
      <c r="C101" s="6">
        <v>20</v>
      </c>
      <c r="D101" s="7" t="s">
        <v>40</v>
      </c>
      <c r="E101" s="6">
        <v>15</v>
      </c>
      <c r="F101" s="7" t="s">
        <v>7</v>
      </c>
      <c r="G101" s="6">
        <v>147</v>
      </c>
      <c r="H101" s="7"/>
      <c r="J101" s="7"/>
      <c r="L101" s="7"/>
      <c r="N101" s="7"/>
      <c r="P101" s="7"/>
      <c r="R101" s="7"/>
      <c r="T101" s="7"/>
      <c r="V101" s="7"/>
      <c r="X101" s="7"/>
      <c r="Z101" s="7"/>
      <c r="AB101" s="6" t="s">
        <v>22</v>
      </c>
      <c r="AC101" s="6" t="b">
        <f t="shared" si="10"/>
        <v>1</v>
      </c>
      <c r="AE101" s="6">
        <f>(+E101)</f>
        <v>15</v>
      </c>
      <c r="AF101" s="6">
        <f>(+C101+G101)</f>
        <v>167</v>
      </c>
      <c r="AG101" s="6">
        <f>(+C101+E101)</f>
        <v>35</v>
      </c>
      <c r="AH101" s="6">
        <f>(+E101+G101)</f>
        <v>162</v>
      </c>
      <c r="AO101" s="6" t="s">
        <v>22</v>
      </c>
      <c r="AP101" s="6">
        <v>15</v>
      </c>
      <c r="AQ101" s="6">
        <v>167</v>
      </c>
      <c r="AR101" s="6">
        <v>35</v>
      </c>
      <c r="AS101" s="6">
        <v>162</v>
      </c>
      <c r="BA101" s="6">
        <f t="shared" si="11"/>
        <v>182</v>
      </c>
      <c r="BB101" s="2"/>
      <c r="BC101" s="2"/>
      <c r="BD101" s="10">
        <v>182</v>
      </c>
      <c r="BE101" s="2" t="b">
        <f t="shared" si="12"/>
        <v>1</v>
      </c>
      <c r="BF101" s="10">
        <v>182</v>
      </c>
      <c r="BG101" s="2" t="b">
        <f t="shared" si="7"/>
        <v>1</v>
      </c>
      <c r="BH101" s="10">
        <v>182</v>
      </c>
      <c r="BI101" s="2" t="b">
        <f t="shared" si="8"/>
        <v>1</v>
      </c>
      <c r="BJ101" s="10">
        <v>182</v>
      </c>
      <c r="BK101" s="2" t="b">
        <f t="shared" si="9"/>
        <v>1</v>
      </c>
      <c r="BL101" s="2"/>
    </row>
    <row r="102" spans="1:64" x14ac:dyDescent="0.2">
      <c r="A102" s="2" t="s">
        <v>425</v>
      </c>
      <c r="B102" s="5" t="s">
        <v>362</v>
      </c>
      <c r="C102" s="2">
        <v>0</v>
      </c>
      <c r="D102" s="5" t="s">
        <v>21</v>
      </c>
      <c r="E102" s="2">
        <v>0</v>
      </c>
      <c r="F102" s="5" t="s">
        <v>383</v>
      </c>
      <c r="G102" s="2">
        <v>0</v>
      </c>
      <c r="H102" s="5" t="s">
        <v>184</v>
      </c>
      <c r="I102" s="2">
        <v>0</v>
      </c>
      <c r="J102" s="5" t="s">
        <v>426</v>
      </c>
      <c r="K102" s="2">
        <v>0</v>
      </c>
      <c r="L102" s="5" t="s">
        <v>197</v>
      </c>
      <c r="M102" s="2">
        <v>0</v>
      </c>
      <c r="N102" s="5" t="s">
        <v>364</v>
      </c>
      <c r="O102" s="2">
        <v>0</v>
      </c>
      <c r="P102" s="5" t="s">
        <v>187</v>
      </c>
      <c r="Q102" s="2">
        <v>0</v>
      </c>
      <c r="R102" s="5" t="s">
        <v>47</v>
      </c>
      <c r="S102" s="2">
        <v>0</v>
      </c>
      <c r="T102" s="5" t="s">
        <v>196</v>
      </c>
      <c r="U102" s="2">
        <v>0</v>
      </c>
      <c r="AB102" s="4" t="s">
        <v>22</v>
      </c>
      <c r="AC102" s="2" t="b">
        <f t="shared" si="10"/>
        <v>0</v>
      </c>
      <c r="AE102" s="2">
        <f>(+C102+G102+I102+K102+M102+S102+U102)</f>
        <v>0</v>
      </c>
      <c r="AF102" s="2">
        <f>(+C102+E102+I102+K102+O102)</f>
        <v>0</v>
      </c>
      <c r="AG102" s="2">
        <f>(+E102+M102+Q102)</f>
        <v>0</v>
      </c>
      <c r="AH102" s="2">
        <f>(+C102+M102+O102+Q102+S102+U102)</f>
        <v>0</v>
      </c>
      <c r="AI102" s="2">
        <f>(+I102+K102+O102+Q102)</f>
        <v>0</v>
      </c>
      <c r="AJ102" s="2">
        <f>(+C102+I102+K102+O102+Q102)</f>
        <v>0</v>
      </c>
      <c r="AK102" s="2">
        <f>(+C102+I102+O102+U102)</f>
        <v>0</v>
      </c>
      <c r="AL102" s="2">
        <f>(+C102+G102+I102+K102+M102+O102+Q102)</f>
        <v>0</v>
      </c>
      <c r="AO102" s="4" t="s">
        <v>22</v>
      </c>
      <c r="AP102" s="2">
        <v>72</v>
      </c>
      <c r="AQ102" s="2">
        <v>38</v>
      </c>
      <c r="AR102" s="2">
        <v>25</v>
      </c>
      <c r="AS102" s="2">
        <v>65</v>
      </c>
      <c r="AT102" s="2">
        <v>40</v>
      </c>
      <c r="AU102" s="2">
        <v>42</v>
      </c>
      <c r="AV102" s="2">
        <v>37</v>
      </c>
      <c r="AW102" s="2">
        <v>66</v>
      </c>
      <c r="BA102" s="2">
        <f t="shared" si="11"/>
        <v>0</v>
      </c>
      <c r="BD102" s="10">
        <v>0</v>
      </c>
      <c r="BE102" s="2" t="b">
        <f t="shared" si="12"/>
        <v>0</v>
      </c>
      <c r="BF102" s="10">
        <v>0</v>
      </c>
      <c r="BG102" s="2" t="b">
        <f t="shared" si="7"/>
        <v>1</v>
      </c>
      <c r="BH102" s="10">
        <v>110</v>
      </c>
      <c r="BI102" s="2" t="b">
        <f t="shared" si="8"/>
        <v>0</v>
      </c>
      <c r="BJ102" s="10">
        <v>90</v>
      </c>
      <c r="BK102" s="2" t="b">
        <f t="shared" si="9"/>
        <v>0</v>
      </c>
    </row>
    <row r="103" spans="1:64" s="6" customFormat="1" x14ac:dyDescent="0.2">
      <c r="A103" s="6" t="s">
        <v>427</v>
      </c>
      <c r="B103" s="7" t="s">
        <v>7</v>
      </c>
      <c r="C103" s="6">
        <v>6</v>
      </c>
      <c r="D103" s="7" t="s">
        <v>39</v>
      </c>
      <c r="E103" s="6">
        <v>11</v>
      </c>
      <c r="F103" s="7" t="s">
        <v>9</v>
      </c>
      <c r="G103" s="6">
        <v>20</v>
      </c>
      <c r="H103" s="7" t="s">
        <v>106</v>
      </c>
      <c r="I103" s="6">
        <v>118</v>
      </c>
      <c r="J103" s="7"/>
      <c r="L103" s="7"/>
      <c r="N103" s="7"/>
      <c r="P103" s="7"/>
      <c r="R103" s="7"/>
      <c r="T103" s="7"/>
      <c r="V103" s="7"/>
      <c r="X103" s="7"/>
      <c r="Z103" s="7"/>
      <c r="AB103" s="6" t="s">
        <v>22</v>
      </c>
      <c r="AC103" s="6" t="b">
        <f t="shared" si="10"/>
        <v>1</v>
      </c>
      <c r="AE103" s="6">
        <f>(+E103+I103)</f>
        <v>129</v>
      </c>
      <c r="AF103" s="6">
        <f>(+C103+E103)</f>
        <v>17</v>
      </c>
      <c r="AG103" s="6">
        <f>(+G103+I103)</f>
        <v>138</v>
      </c>
      <c r="AH103" s="6">
        <f>(+C103+E103+G103)</f>
        <v>37</v>
      </c>
      <c r="AI103" s="6">
        <f>(+I103)</f>
        <v>118</v>
      </c>
      <c r="AO103" s="6" t="s">
        <v>22</v>
      </c>
      <c r="AP103" s="6">
        <v>129</v>
      </c>
      <c r="AQ103" s="6">
        <v>17</v>
      </c>
      <c r="AR103" s="6">
        <v>138</v>
      </c>
      <c r="AS103" s="6">
        <v>37</v>
      </c>
      <c r="AT103" s="6">
        <v>118</v>
      </c>
      <c r="BA103" s="6">
        <f t="shared" si="11"/>
        <v>155</v>
      </c>
      <c r="BB103" s="2"/>
      <c r="BC103" s="2"/>
      <c r="BD103" s="10">
        <v>155</v>
      </c>
      <c r="BE103" s="2" t="b">
        <f t="shared" si="12"/>
        <v>1</v>
      </c>
      <c r="BF103" s="10">
        <v>155</v>
      </c>
      <c r="BG103" s="2" t="b">
        <f t="shared" si="7"/>
        <v>1</v>
      </c>
      <c r="BH103" s="10">
        <v>155</v>
      </c>
      <c r="BI103" s="2" t="b">
        <f t="shared" si="8"/>
        <v>1</v>
      </c>
      <c r="BJ103" s="10">
        <v>155</v>
      </c>
      <c r="BK103" s="2" t="b">
        <f t="shared" si="9"/>
        <v>1</v>
      </c>
      <c r="BL103" s="2"/>
    </row>
    <row r="104" spans="1:64" s="6" customFormat="1" x14ac:dyDescent="0.2">
      <c r="A104" s="6" t="s">
        <v>428</v>
      </c>
      <c r="B104" s="7" t="s">
        <v>27</v>
      </c>
      <c r="C104" s="6">
        <v>24</v>
      </c>
      <c r="D104" s="7" t="s">
        <v>11</v>
      </c>
      <c r="E104" s="6">
        <v>7</v>
      </c>
      <c r="F104" s="7" t="s">
        <v>9</v>
      </c>
      <c r="G104" s="6">
        <v>0</v>
      </c>
      <c r="H104" s="7" t="s">
        <v>106</v>
      </c>
      <c r="I104" s="6">
        <v>0</v>
      </c>
      <c r="J104" s="7" t="s">
        <v>152</v>
      </c>
      <c r="K104" s="6">
        <v>15</v>
      </c>
      <c r="L104" s="7"/>
      <c r="N104" s="7"/>
      <c r="P104" s="7"/>
      <c r="R104" s="7"/>
      <c r="T104" s="7"/>
      <c r="V104" s="7"/>
      <c r="X104" s="7"/>
      <c r="Z104" s="7"/>
      <c r="AB104" s="6" t="s">
        <v>22</v>
      </c>
      <c r="AC104" s="6" t="b">
        <f t="shared" si="10"/>
        <v>1</v>
      </c>
      <c r="AE104" s="6">
        <f>(+C104+E104+I104+K104)</f>
        <v>46</v>
      </c>
      <c r="AF104" s="6">
        <f>(+C104+E104+K104)</f>
        <v>46</v>
      </c>
      <c r="AG104" s="6">
        <f>(+C104+G104+I104+K104)</f>
        <v>39</v>
      </c>
      <c r="AH104" s="6">
        <f>(+C104+G104)</f>
        <v>24</v>
      </c>
      <c r="AI104" s="6">
        <f>(+I104+K104)</f>
        <v>15</v>
      </c>
      <c r="AO104" s="6" t="s">
        <v>22</v>
      </c>
      <c r="AP104" s="6">
        <v>46</v>
      </c>
      <c r="AQ104" s="6">
        <v>46</v>
      </c>
      <c r="AR104" s="6">
        <v>39</v>
      </c>
      <c r="AS104" s="6">
        <v>24</v>
      </c>
      <c r="AT104" s="6">
        <v>15</v>
      </c>
      <c r="BA104" s="6">
        <f t="shared" si="11"/>
        <v>46</v>
      </c>
      <c r="BB104" s="2"/>
      <c r="BC104" s="2"/>
      <c r="BD104" s="10">
        <v>46</v>
      </c>
      <c r="BE104" s="2" t="b">
        <f t="shared" si="12"/>
        <v>1</v>
      </c>
      <c r="BF104" s="10">
        <v>46</v>
      </c>
      <c r="BG104" s="2" t="b">
        <f t="shared" si="7"/>
        <v>1</v>
      </c>
      <c r="BH104" s="10">
        <v>46</v>
      </c>
      <c r="BI104" s="2" t="b">
        <f t="shared" si="8"/>
        <v>1</v>
      </c>
      <c r="BJ104" s="10">
        <v>46</v>
      </c>
      <c r="BK104" s="2" t="b">
        <f t="shared" si="9"/>
        <v>1</v>
      </c>
      <c r="BL104" s="2"/>
    </row>
    <row r="105" spans="1:64" x14ac:dyDescent="0.2">
      <c r="A105" s="2" t="s">
        <v>429</v>
      </c>
      <c r="B105" s="5" t="s">
        <v>10</v>
      </c>
      <c r="C105" s="2">
        <v>0</v>
      </c>
      <c r="D105" s="5" t="s">
        <v>7</v>
      </c>
      <c r="E105" s="2">
        <v>0</v>
      </c>
      <c r="F105" s="5" t="s">
        <v>39</v>
      </c>
      <c r="G105" s="2">
        <v>0</v>
      </c>
      <c r="H105" s="5" t="s">
        <v>6</v>
      </c>
      <c r="I105" s="2">
        <v>0</v>
      </c>
      <c r="J105" s="5" t="s">
        <v>15</v>
      </c>
      <c r="K105" s="2">
        <v>0</v>
      </c>
      <c r="AB105" s="4" t="s">
        <v>22</v>
      </c>
      <c r="AC105" s="2" t="b">
        <f t="shared" si="10"/>
        <v>0</v>
      </c>
      <c r="AE105" s="2">
        <f>(+C105+G105+K105)</f>
        <v>0</v>
      </c>
      <c r="AF105" s="2">
        <f>(+E105+G105+K105)</f>
        <v>0</v>
      </c>
      <c r="AG105" s="2">
        <f>(+C105+K105)</f>
        <v>0</v>
      </c>
      <c r="AH105" s="2">
        <f>(+E105+G105+I105)</f>
        <v>0</v>
      </c>
      <c r="AO105" s="4" t="s">
        <v>22</v>
      </c>
      <c r="AP105" s="2">
        <v>19</v>
      </c>
      <c r="AQ105" s="2">
        <v>171</v>
      </c>
      <c r="AR105" s="2">
        <v>9</v>
      </c>
      <c r="AS105" s="2">
        <v>164</v>
      </c>
      <c r="BA105" s="2">
        <f t="shared" si="11"/>
        <v>0</v>
      </c>
      <c r="BD105" s="10">
        <v>173</v>
      </c>
      <c r="BE105" s="2" t="b">
        <f t="shared" si="12"/>
        <v>0</v>
      </c>
      <c r="BF105" s="10">
        <v>173</v>
      </c>
      <c r="BG105" s="2" t="b">
        <f t="shared" si="7"/>
        <v>1</v>
      </c>
      <c r="BH105" s="10">
        <v>173</v>
      </c>
      <c r="BI105" s="2" t="b">
        <f t="shared" si="8"/>
        <v>1</v>
      </c>
      <c r="BJ105" s="10">
        <v>173</v>
      </c>
      <c r="BK105" s="2" t="b">
        <f t="shared" si="9"/>
        <v>1</v>
      </c>
    </row>
    <row r="106" spans="1:64" x14ac:dyDescent="0.2">
      <c r="A106" s="2" t="s">
        <v>430</v>
      </c>
      <c r="B106" s="5" t="s">
        <v>15</v>
      </c>
      <c r="C106" s="2">
        <v>0</v>
      </c>
      <c r="D106" s="5" t="s">
        <v>38</v>
      </c>
      <c r="E106" s="2">
        <v>0</v>
      </c>
      <c r="F106" s="5" t="s">
        <v>7</v>
      </c>
      <c r="G106" s="2">
        <v>0</v>
      </c>
      <c r="H106" s="5" t="s">
        <v>9</v>
      </c>
      <c r="I106" s="2">
        <v>0</v>
      </c>
      <c r="J106" s="5" t="s">
        <v>10</v>
      </c>
      <c r="K106" s="2">
        <v>0</v>
      </c>
      <c r="AB106" s="4" t="s">
        <v>22</v>
      </c>
      <c r="AC106" s="2" t="b">
        <f t="shared" si="10"/>
        <v>0</v>
      </c>
      <c r="AE106" s="2">
        <f>(+C106+K106)</f>
        <v>0</v>
      </c>
      <c r="AF106" s="2">
        <f>(+C106+E106+G106)</f>
        <v>0</v>
      </c>
      <c r="AG106" s="2">
        <f>(+C106+I106+K106)</f>
        <v>0</v>
      </c>
      <c r="AH106" s="2">
        <f>(+G106+I106)</f>
        <v>0</v>
      </c>
      <c r="AO106" s="4" t="s">
        <v>22</v>
      </c>
      <c r="AP106" s="2">
        <v>29</v>
      </c>
      <c r="AQ106" s="2">
        <v>23</v>
      </c>
      <c r="AR106" s="2">
        <v>41</v>
      </c>
      <c r="AS106" s="2">
        <v>17</v>
      </c>
      <c r="BA106" s="2">
        <f t="shared" si="11"/>
        <v>0</v>
      </c>
      <c r="BD106" s="10">
        <v>46</v>
      </c>
      <c r="BE106" s="2" t="b">
        <f t="shared" si="12"/>
        <v>0</v>
      </c>
      <c r="BF106" s="10">
        <v>46</v>
      </c>
      <c r="BG106" s="2" t="b">
        <f t="shared" si="7"/>
        <v>1</v>
      </c>
      <c r="BH106" s="10">
        <v>46</v>
      </c>
      <c r="BI106" s="2" t="b">
        <f t="shared" si="8"/>
        <v>1</v>
      </c>
      <c r="BJ106" s="10">
        <v>46</v>
      </c>
      <c r="BK106" s="2" t="b">
        <f t="shared" si="9"/>
        <v>1</v>
      </c>
    </row>
    <row r="107" spans="1:64" x14ac:dyDescent="0.2">
      <c r="A107" s="2" t="s">
        <v>431</v>
      </c>
      <c r="B107" s="5" t="s">
        <v>43</v>
      </c>
      <c r="C107" s="2">
        <v>0</v>
      </c>
      <c r="D107" s="5" t="s">
        <v>20</v>
      </c>
      <c r="E107" s="2">
        <v>0</v>
      </c>
      <c r="F107" s="5" t="s">
        <v>115</v>
      </c>
      <c r="G107" s="2">
        <v>0</v>
      </c>
      <c r="H107" s="5" t="s">
        <v>48</v>
      </c>
      <c r="I107" s="2">
        <v>0</v>
      </c>
      <c r="J107" s="5" t="s">
        <v>26</v>
      </c>
      <c r="K107" s="2">
        <v>0</v>
      </c>
      <c r="AB107" s="4" t="s">
        <v>22</v>
      </c>
      <c r="AC107" s="2" t="b">
        <f t="shared" si="10"/>
        <v>0</v>
      </c>
      <c r="AE107" s="2">
        <f>(+E107+K107)</f>
        <v>0</v>
      </c>
      <c r="AF107" s="2">
        <f>(+E107+G107)</f>
        <v>0</v>
      </c>
      <c r="AG107" s="2">
        <f>(+C107+E107+K107)</f>
        <v>0</v>
      </c>
      <c r="AH107" s="2">
        <f>(+I107+K107)</f>
        <v>0</v>
      </c>
      <c r="AI107" s="2">
        <f>(+C107+E107)</f>
        <v>0</v>
      </c>
      <c r="AJ107" s="2">
        <f>(+C107+E107+G107+I107+K107)</f>
        <v>0</v>
      </c>
      <c r="AO107" s="4" t="s">
        <v>22</v>
      </c>
      <c r="AP107" s="2">
        <v>16</v>
      </c>
      <c r="AQ107" s="2">
        <v>29</v>
      </c>
      <c r="AR107" s="2">
        <v>134</v>
      </c>
      <c r="AS107" s="2">
        <v>22</v>
      </c>
      <c r="AT107" s="2">
        <v>127</v>
      </c>
      <c r="AU107" s="2">
        <v>169</v>
      </c>
      <c r="BA107" s="2">
        <f t="shared" si="11"/>
        <v>0</v>
      </c>
      <c r="BD107" s="10">
        <v>169</v>
      </c>
      <c r="BE107" s="2" t="b">
        <f t="shared" si="12"/>
        <v>0</v>
      </c>
      <c r="BF107" s="10">
        <v>169</v>
      </c>
      <c r="BG107" s="2" t="b">
        <f t="shared" si="7"/>
        <v>1</v>
      </c>
      <c r="BH107" s="10">
        <v>169</v>
      </c>
      <c r="BI107" s="2" t="b">
        <f t="shared" si="8"/>
        <v>1</v>
      </c>
      <c r="BJ107" s="10">
        <v>169</v>
      </c>
      <c r="BK107" s="2" t="b">
        <f t="shared" si="9"/>
        <v>1</v>
      </c>
    </row>
    <row r="108" spans="1:64" x14ac:dyDescent="0.2">
      <c r="A108" s="2" t="s">
        <v>432</v>
      </c>
      <c r="B108" s="5" t="s">
        <v>54</v>
      </c>
      <c r="C108" s="2">
        <v>0</v>
      </c>
      <c r="D108" s="5" t="s">
        <v>118</v>
      </c>
      <c r="E108" s="2">
        <v>0</v>
      </c>
      <c r="F108" s="5" t="s">
        <v>9</v>
      </c>
      <c r="G108" s="2">
        <v>0</v>
      </c>
      <c r="H108" s="5" t="s">
        <v>34</v>
      </c>
      <c r="I108" s="2">
        <v>0</v>
      </c>
      <c r="J108" s="5" t="s">
        <v>433</v>
      </c>
      <c r="K108" s="2">
        <v>0</v>
      </c>
      <c r="L108" s="5" t="s">
        <v>434</v>
      </c>
      <c r="M108" s="2">
        <v>0</v>
      </c>
      <c r="N108" s="5" t="s">
        <v>44</v>
      </c>
      <c r="O108" s="2">
        <v>0</v>
      </c>
      <c r="P108" s="5" t="s">
        <v>11</v>
      </c>
      <c r="Q108" s="2">
        <v>0</v>
      </c>
      <c r="AB108" s="4" t="s">
        <v>22</v>
      </c>
      <c r="AC108" s="2" t="b">
        <f t="shared" si="10"/>
        <v>0</v>
      </c>
      <c r="AE108" s="2">
        <f>(+I108+K108+M108+Q108)</f>
        <v>0</v>
      </c>
      <c r="AF108" s="2">
        <f>(+C108+E108+K108+Q108)</f>
        <v>0</v>
      </c>
      <c r="AG108" s="2">
        <f>(+C108+G108+I108)</f>
        <v>0</v>
      </c>
      <c r="AH108" s="2">
        <f>(+C108+E108+G108+I108+K108)</f>
        <v>0</v>
      </c>
      <c r="AI108" s="2">
        <f>(+E108+I108+M108+O108)</f>
        <v>0</v>
      </c>
      <c r="AJ108" s="2">
        <f>(+C108+I108+K108+O108)</f>
        <v>0</v>
      </c>
      <c r="AK108" s="2">
        <f>(+C108+M108)</f>
        <v>0</v>
      </c>
      <c r="AO108" s="4" t="s">
        <v>22</v>
      </c>
      <c r="AP108" s="2">
        <v>58</v>
      </c>
      <c r="AQ108" s="2">
        <v>25</v>
      </c>
      <c r="AR108" s="2">
        <v>38</v>
      </c>
      <c r="AS108" s="2">
        <v>50</v>
      </c>
      <c r="AT108" s="2">
        <v>161</v>
      </c>
      <c r="AU108" s="2">
        <v>150</v>
      </c>
      <c r="AV108" s="2">
        <v>23</v>
      </c>
      <c r="BA108" s="2">
        <f t="shared" si="11"/>
        <v>0</v>
      </c>
      <c r="BD108" s="10">
        <v>179</v>
      </c>
      <c r="BE108" s="2" t="b">
        <f t="shared" si="12"/>
        <v>0</v>
      </c>
      <c r="BF108" s="10">
        <v>179</v>
      </c>
      <c r="BG108" s="2" t="b">
        <f t="shared" si="7"/>
        <v>1</v>
      </c>
      <c r="BH108" s="10">
        <v>179</v>
      </c>
      <c r="BI108" s="2" t="b">
        <f t="shared" si="8"/>
        <v>1</v>
      </c>
      <c r="BJ108" s="10">
        <v>179</v>
      </c>
      <c r="BK108" s="2" t="b">
        <f t="shared" si="9"/>
        <v>1</v>
      </c>
    </row>
    <row r="109" spans="1:64" s="6" customFormat="1" x14ac:dyDescent="0.2">
      <c r="A109" s="6" t="s">
        <v>435</v>
      </c>
      <c r="B109" s="7" t="s">
        <v>152</v>
      </c>
      <c r="C109" s="6">
        <v>14</v>
      </c>
      <c r="D109" s="7" t="s">
        <v>204</v>
      </c>
      <c r="E109" s="6">
        <v>114</v>
      </c>
      <c r="F109" s="7" t="s">
        <v>10</v>
      </c>
      <c r="G109" s="6">
        <v>10</v>
      </c>
      <c r="H109" s="7"/>
      <c r="J109" s="7"/>
      <c r="L109" s="7"/>
      <c r="N109" s="7"/>
      <c r="P109" s="7"/>
      <c r="R109" s="7"/>
      <c r="T109" s="7"/>
      <c r="V109" s="7"/>
      <c r="X109" s="7"/>
      <c r="Z109" s="7"/>
      <c r="AB109" s="6" t="s">
        <v>22</v>
      </c>
      <c r="AC109" s="6" t="b">
        <f t="shared" si="10"/>
        <v>1</v>
      </c>
      <c r="AE109" s="6">
        <f>(+C109+E109+G109)</f>
        <v>138</v>
      </c>
      <c r="AF109" s="6">
        <f>(+C109+E109)</f>
        <v>128</v>
      </c>
      <c r="AG109" s="6">
        <f>(+C109+G109)</f>
        <v>24</v>
      </c>
      <c r="AH109" s="6">
        <f>(+E109)</f>
        <v>114</v>
      </c>
      <c r="AI109" s="6">
        <f>(+C109+E109)</f>
        <v>128</v>
      </c>
      <c r="AO109" s="6" t="s">
        <v>22</v>
      </c>
      <c r="AP109" s="6">
        <v>138</v>
      </c>
      <c r="AQ109" s="6">
        <v>128</v>
      </c>
      <c r="AR109" s="6">
        <v>24</v>
      </c>
      <c r="AS109" s="6">
        <v>114</v>
      </c>
      <c r="AT109" s="6">
        <v>128</v>
      </c>
      <c r="BA109" s="6">
        <f t="shared" si="11"/>
        <v>138</v>
      </c>
      <c r="BB109" s="2"/>
      <c r="BC109" s="2"/>
      <c r="BD109" s="10">
        <v>138</v>
      </c>
      <c r="BE109" s="2" t="b">
        <f t="shared" si="12"/>
        <v>1</v>
      </c>
      <c r="BF109" s="10">
        <v>138</v>
      </c>
      <c r="BG109" s="2" t="b">
        <f t="shared" si="7"/>
        <v>1</v>
      </c>
      <c r="BH109" s="10">
        <v>138</v>
      </c>
      <c r="BI109" s="2" t="b">
        <f t="shared" si="8"/>
        <v>1</v>
      </c>
      <c r="BJ109" s="10">
        <v>138</v>
      </c>
      <c r="BK109" s="2" t="b">
        <f t="shared" si="9"/>
        <v>1</v>
      </c>
      <c r="BL109" s="2"/>
    </row>
    <row r="110" spans="1:64" x14ac:dyDescent="0.2">
      <c r="A110" s="2" t="s">
        <v>436</v>
      </c>
      <c r="B110" s="5" t="s">
        <v>366</v>
      </c>
      <c r="C110" s="2">
        <v>0</v>
      </c>
      <c r="D110" s="5" t="s">
        <v>19</v>
      </c>
      <c r="E110" s="2">
        <v>0</v>
      </c>
      <c r="F110" s="5" t="s">
        <v>10</v>
      </c>
      <c r="G110" s="2">
        <v>0</v>
      </c>
      <c r="H110" s="5" t="s">
        <v>423</v>
      </c>
      <c r="I110" s="2">
        <v>0</v>
      </c>
      <c r="J110" s="5" t="s">
        <v>9</v>
      </c>
      <c r="K110" s="2">
        <v>0</v>
      </c>
      <c r="L110" s="5" t="s">
        <v>44</v>
      </c>
      <c r="M110" s="2">
        <v>0</v>
      </c>
      <c r="N110" s="5" t="s">
        <v>46</v>
      </c>
      <c r="O110" s="2">
        <v>0</v>
      </c>
      <c r="AB110" s="4" t="s">
        <v>22</v>
      </c>
      <c r="AC110" s="2" t="b">
        <f t="shared" si="10"/>
        <v>0</v>
      </c>
      <c r="AE110" s="2">
        <f>(+C110+E110+G110+O110)</f>
        <v>0</v>
      </c>
      <c r="AF110" s="2">
        <f>(+O110)</f>
        <v>0</v>
      </c>
      <c r="AG110" s="2">
        <f>(+G110+K110)</f>
        <v>0</v>
      </c>
      <c r="AH110" s="2">
        <f>(+C110+E110+K110)</f>
        <v>0</v>
      </c>
      <c r="AI110" s="2">
        <f>(+C110+E110+M110)</f>
        <v>0</v>
      </c>
      <c r="AJ110" s="2">
        <f>(+C110+I110+M110+O110)</f>
        <v>0</v>
      </c>
      <c r="AO110" s="4" t="s">
        <v>22</v>
      </c>
      <c r="AP110" s="2">
        <v>39</v>
      </c>
      <c r="AQ110" s="2">
        <v>10</v>
      </c>
      <c r="AR110" s="2">
        <v>25</v>
      </c>
      <c r="AS110" s="2">
        <v>26</v>
      </c>
      <c r="AT110" s="2">
        <v>23</v>
      </c>
      <c r="AU110" s="2">
        <v>27</v>
      </c>
      <c r="BA110" s="2">
        <f t="shared" si="11"/>
        <v>0</v>
      </c>
      <c r="BD110" s="10">
        <v>58</v>
      </c>
      <c r="BE110" s="2" t="b">
        <f t="shared" si="12"/>
        <v>0</v>
      </c>
      <c r="BF110" s="10">
        <v>58</v>
      </c>
      <c r="BG110" s="2" t="b">
        <f t="shared" si="7"/>
        <v>1</v>
      </c>
      <c r="BH110" s="10">
        <v>58</v>
      </c>
      <c r="BI110" s="2" t="b">
        <f t="shared" si="8"/>
        <v>1</v>
      </c>
      <c r="BJ110" s="10">
        <v>58</v>
      </c>
      <c r="BK110" s="2" t="b">
        <f t="shared" si="9"/>
        <v>1</v>
      </c>
    </row>
    <row r="111" spans="1:64" x14ac:dyDescent="0.2">
      <c r="A111" s="2" t="s">
        <v>437</v>
      </c>
      <c r="B111" s="5" t="s">
        <v>14</v>
      </c>
      <c r="C111" s="2">
        <v>0</v>
      </c>
      <c r="D111" s="5" t="s">
        <v>25</v>
      </c>
      <c r="E111" s="2">
        <v>0</v>
      </c>
      <c r="F111" s="5" t="s">
        <v>16</v>
      </c>
      <c r="G111" s="2">
        <v>0</v>
      </c>
      <c r="H111" s="5" t="s">
        <v>106</v>
      </c>
      <c r="I111" s="2">
        <v>0</v>
      </c>
      <c r="J111" s="5" t="s">
        <v>7</v>
      </c>
      <c r="K111" s="2">
        <v>0</v>
      </c>
      <c r="AB111" s="4" t="s">
        <v>22</v>
      </c>
      <c r="AC111" s="2" t="b">
        <f t="shared" si="10"/>
        <v>0</v>
      </c>
      <c r="AE111" s="2">
        <f>(+C111+I111)</f>
        <v>0</v>
      </c>
      <c r="AF111" s="2">
        <f>(+G111+K111)</f>
        <v>0</v>
      </c>
      <c r="AG111" s="2">
        <f>(+G111+I111)</f>
        <v>0</v>
      </c>
      <c r="AH111" s="2">
        <f>(+E111+G111+K111)</f>
        <v>0</v>
      </c>
      <c r="AI111" s="2">
        <f>(+C111+E111+G111+I111)</f>
        <v>0</v>
      </c>
      <c r="AO111" s="4" t="s">
        <v>22</v>
      </c>
      <c r="AP111" s="2">
        <v>17</v>
      </c>
      <c r="AQ111" s="2">
        <v>37</v>
      </c>
      <c r="AR111" s="2">
        <v>33</v>
      </c>
      <c r="AS111" s="2">
        <v>46</v>
      </c>
      <c r="AT111" s="2">
        <v>45</v>
      </c>
      <c r="BA111" s="2">
        <f t="shared" si="11"/>
        <v>0</v>
      </c>
      <c r="BD111" s="10">
        <v>63</v>
      </c>
      <c r="BE111" s="2" t="b">
        <f t="shared" si="12"/>
        <v>0</v>
      </c>
      <c r="BF111" s="10">
        <v>63</v>
      </c>
      <c r="BG111" s="2" t="b">
        <f t="shared" si="7"/>
        <v>1</v>
      </c>
      <c r="BH111" s="10">
        <v>63</v>
      </c>
      <c r="BI111" s="2" t="b">
        <f t="shared" si="8"/>
        <v>1</v>
      </c>
      <c r="BJ111" s="10">
        <v>63</v>
      </c>
      <c r="BK111" s="2" t="b">
        <f t="shared" si="9"/>
        <v>1</v>
      </c>
    </row>
    <row r="112" spans="1:64" x14ac:dyDescent="0.2">
      <c r="A112" s="2" t="s">
        <v>438</v>
      </c>
      <c r="B112" s="5" t="s">
        <v>50</v>
      </c>
      <c r="C112" s="2">
        <v>0</v>
      </c>
      <c r="D112" s="5" t="s">
        <v>128</v>
      </c>
      <c r="E112" s="2">
        <v>0</v>
      </c>
      <c r="F112" s="5" t="s">
        <v>13</v>
      </c>
      <c r="G112" s="2">
        <v>0</v>
      </c>
      <c r="AB112" s="4" t="s">
        <v>22</v>
      </c>
      <c r="AC112" s="2" t="b">
        <f t="shared" si="10"/>
        <v>0</v>
      </c>
      <c r="AE112" s="2">
        <f>(+E112+G112)</f>
        <v>0</v>
      </c>
      <c r="AF112" s="2">
        <f>(+C112+E112)</f>
        <v>0</v>
      </c>
      <c r="AG112" s="2">
        <f>(+C112+G112)</f>
        <v>0</v>
      </c>
      <c r="AH112" s="2">
        <f>(+C112+G112)</f>
        <v>0</v>
      </c>
      <c r="AI112" s="2">
        <f>(+E112+G112)</f>
        <v>0</v>
      </c>
      <c r="AO112" s="4" t="s">
        <v>22</v>
      </c>
      <c r="AP112" s="2">
        <v>10</v>
      </c>
      <c r="AQ112" s="2">
        <v>15</v>
      </c>
      <c r="AR112" s="2">
        <v>11</v>
      </c>
      <c r="AS112" s="2">
        <v>11</v>
      </c>
      <c r="AT112" s="2">
        <v>10</v>
      </c>
      <c r="BA112" s="2">
        <f t="shared" si="11"/>
        <v>0</v>
      </c>
      <c r="BD112" s="10">
        <v>18</v>
      </c>
      <c r="BE112" s="2" t="b">
        <f t="shared" si="12"/>
        <v>0</v>
      </c>
      <c r="BF112" s="10">
        <v>18</v>
      </c>
      <c r="BG112" s="2" t="b">
        <f t="shared" si="7"/>
        <v>1</v>
      </c>
      <c r="BH112" s="10">
        <v>18</v>
      </c>
      <c r="BI112" s="2" t="b">
        <f t="shared" si="8"/>
        <v>1</v>
      </c>
      <c r="BJ112" s="10">
        <v>18</v>
      </c>
      <c r="BK112" s="2" t="b">
        <f t="shared" si="9"/>
        <v>1</v>
      </c>
    </row>
    <row r="113" spans="1:64" x14ac:dyDescent="0.2">
      <c r="A113" s="2" t="s">
        <v>439</v>
      </c>
      <c r="B113" s="5" t="s">
        <v>440</v>
      </c>
      <c r="C113" s="2">
        <v>0</v>
      </c>
      <c r="D113" s="5" t="s">
        <v>434</v>
      </c>
      <c r="E113" s="2">
        <v>0</v>
      </c>
      <c r="F113" s="5" t="s">
        <v>48</v>
      </c>
      <c r="G113" s="2">
        <v>0</v>
      </c>
      <c r="H113" s="5" t="s">
        <v>441</v>
      </c>
      <c r="I113" s="2">
        <v>0</v>
      </c>
      <c r="J113" s="5" t="s">
        <v>14</v>
      </c>
      <c r="K113" s="2">
        <v>0</v>
      </c>
      <c r="L113" s="5" t="s">
        <v>300</v>
      </c>
      <c r="M113" s="2">
        <v>0</v>
      </c>
      <c r="AB113" s="4" t="s">
        <v>22</v>
      </c>
      <c r="AC113" s="2" t="b">
        <f t="shared" si="10"/>
        <v>0</v>
      </c>
      <c r="AE113" s="2">
        <f>(+C113+E113+I113+K113+M113)</f>
        <v>0</v>
      </c>
      <c r="AF113" s="2">
        <f>(+C113)</f>
        <v>0</v>
      </c>
      <c r="AG113" s="2">
        <f>(+C113+I113+M113)</f>
        <v>0</v>
      </c>
      <c r="AH113" s="2">
        <f>(+G113+I113)</f>
        <v>0</v>
      </c>
      <c r="AI113" s="2">
        <f>(+E113+K113+M113)</f>
        <v>0</v>
      </c>
      <c r="AJ113" s="2">
        <f>(+G113+I113+M113)</f>
        <v>0</v>
      </c>
      <c r="AK113" s="2">
        <f>(+E113+I113+M113)</f>
        <v>0</v>
      </c>
      <c r="AL113" s="2">
        <f>(+C113+I113+M113)</f>
        <v>0</v>
      </c>
      <c r="AO113" s="4" t="s">
        <v>22</v>
      </c>
      <c r="AP113" s="2">
        <v>51</v>
      </c>
      <c r="AQ113" s="2">
        <v>3</v>
      </c>
      <c r="AR113" s="2">
        <v>22</v>
      </c>
      <c r="AS113" s="2">
        <v>8</v>
      </c>
      <c r="AT113" s="2">
        <v>40</v>
      </c>
      <c r="AU113" s="2">
        <v>19</v>
      </c>
      <c r="AV113" s="2">
        <v>38</v>
      </c>
      <c r="AW113" s="2">
        <v>22</v>
      </c>
      <c r="BA113" s="2">
        <f t="shared" si="11"/>
        <v>0</v>
      </c>
      <c r="BD113" s="10">
        <v>51</v>
      </c>
      <c r="BE113" s="2" t="b">
        <f t="shared" si="12"/>
        <v>0</v>
      </c>
      <c r="BF113" s="10">
        <v>51</v>
      </c>
      <c r="BG113" s="2" t="b">
        <f t="shared" si="7"/>
        <v>1</v>
      </c>
      <c r="BH113" s="10">
        <v>51</v>
      </c>
      <c r="BI113" s="2" t="b">
        <f t="shared" si="8"/>
        <v>1</v>
      </c>
      <c r="BJ113" s="10">
        <v>51</v>
      </c>
      <c r="BK113" s="2" t="b">
        <f t="shared" si="9"/>
        <v>1</v>
      </c>
    </row>
    <row r="114" spans="1:64" x14ac:dyDescent="0.2">
      <c r="A114" s="2" t="s">
        <v>442</v>
      </c>
      <c r="B114" s="5" t="s">
        <v>151</v>
      </c>
      <c r="C114" s="2">
        <v>0</v>
      </c>
      <c r="D114" s="5" t="s">
        <v>133</v>
      </c>
      <c r="E114" s="2">
        <v>0</v>
      </c>
      <c r="F114" s="5" t="s">
        <v>42</v>
      </c>
      <c r="G114" s="2">
        <v>0</v>
      </c>
      <c r="H114" s="5" t="s">
        <v>195</v>
      </c>
      <c r="I114" s="2">
        <v>0</v>
      </c>
      <c r="J114" s="5" t="s">
        <v>302</v>
      </c>
      <c r="K114" s="2">
        <v>0</v>
      </c>
      <c r="L114" s="5" t="s">
        <v>25</v>
      </c>
      <c r="M114" s="2">
        <v>0</v>
      </c>
      <c r="N114" s="5" t="s">
        <v>147</v>
      </c>
      <c r="O114" s="2">
        <v>0</v>
      </c>
      <c r="AB114" s="4" t="s">
        <v>22</v>
      </c>
      <c r="AC114" s="2" t="b">
        <f t="shared" si="10"/>
        <v>0</v>
      </c>
      <c r="AE114" s="2">
        <f>(+C114+E114)</f>
        <v>0</v>
      </c>
      <c r="AF114" s="2">
        <f>(+E114+G114+I114)</f>
        <v>0</v>
      </c>
      <c r="AG114" s="2">
        <f>(+E114+G114+O114)</f>
        <v>0</v>
      </c>
      <c r="AH114" s="2">
        <f>(+C114+E114+I114+M114+O114)</f>
        <v>0</v>
      </c>
      <c r="AI114" s="2">
        <f>(+E114+G114+I114+M114+O114)</f>
        <v>0</v>
      </c>
      <c r="AJ114" s="2">
        <f>(+C114+K114+O114)</f>
        <v>0</v>
      </c>
      <c r="AK114" s="2">
        <f>(+E114+I114+K114+O114)</f>
        <v>0</v>
      </c>
      <c r="AO114" s="4" t="s">
        <v>22</v>
      </c>
      <c r="AP114" s="2">
        <v>27</v>
      </c>
      <c r="AQ114" s="2">
        <v>54</v>
      </c>
      <c r="AR114" s="2">
        <v>40</v>
      </c>
      <c r="AS114" s="2">
        <v>51</v>
      </c>
      <c r="AT114" s="2">
        <v>59</v>
      </c>
      <c r="AU114" s="2">
        <v>21</v>
      </c>
      <c r="AV114" s="2">
        <v>43</v>
      </c>
      <c r="BA114" s="2">
        <f t="shared" si="11"/>
        <v>0</v>
      </c>
      <c r="BD114" s="10">
        <v>0</v>
      </c>
      <c r="BE114" s="2" t="b">
        <f t="shared" si="12"/>
        <v>0</v>
      </c>
      <c r="BF114" s="10">
        <v>75</v>
      </c>
      <c r="BG114" s="2" t="b">
        <f t="shared" si="7"/>
        <v>0</v>
      </c>
      <c r="BH114" s="10">
        <v>75</v>
      </c>
      <c r="BI114" s="2" t="b">
        <f t="shared" si="8"/>
        <v>1</v>
      </c>
      <c r="BJ114" s="10">
        <v>75</v>
      </c>
      <c r="BK114" s="2" t="b">
        <f t="shared" si="9"/>
        <v>1</v>
      </c>
    </row>
    <row r="115" spans="1:64" x14ac:dyDescent="0.2">
      <c r="A115" s="2" t="s">
        <v>443</v>
      </c>
      <c r="B115" s="5" t="s">
        <v>444</v>
      </c>
      <c r="C115" s="2">
        <v>0</v>
      </c>
      <c r="D115" s="5" t="s">
        <v>445</v>
      </c>
      <c r="E115" s="2">
        <v>0</v>
      </c>
      <c r="F115" s="5" t="s">
        <v>446</v>
      </c>
      <c r="G115" s="2">
        <v>0</v>
      </c>
      <c r="H115" s="5" t="s">
        <v>447</v>
      </c>
      <c r="I115" s="2">
        <v>0</v>
      </c>
      <c r="J115" s="5" t="s">
        <v>448</v>
      </c>
      <c r="K115" s="2">
        <v>0</v>
      </c>
      <c r="L115" s="5" t="s">
        <v>449</v>
      </c>
      <c r="M115" s="2">
        <v>0</v>
      </c>
      <c r="N115" s="5" t="s">
        <v>270</v>
      </c>
      <c r="O115" s="2">
        <v>0</v>
      </c>
      <c r="P115" s="5" t="s">
        <v>450</v>
      </c>
      <c r="Q115" s="2">
        <v>0</v>
      </c>
      <c r="R115" s="5" t="s">
        <v>106</v>
      </c>
      <c r="S115" s="2">
        <v>0</v>
      </c>
      <c r="T115" s="5" t="s">
        <v>451</v>
      </c>
      <c r="U115" s="2">
        <v>0</v>
      </c>
      <c r="V115" s="5" t="s">
        <v>290</v>
      </c>
      <c r="W115" s="2">
        <v>0</v>
      </c>
      <c r="X115" s="5" t="s">
        <v>251</v>
      </c>
      <c r="Y115" s="2">
        <v>0</v>
      </c>
      <c r="AB115" s="4" t="s">
        <v>22</v>
      </c>
      <c r="AC115" s="2" t="b">
        <f t="shared" si="10"/>
        <v>0</v>
      </c>
      <c r="AE115" s="2">
        <f>(+I115+K115+O115+Q115+S115)</f>
        <v>0</v>
      </c>
      <c r="AF115" s="2">
        <f>(+C115+W115)</f>
        <v>0</v>
      </c>
      <c r="AG115" s="2">
        <f>(+K115+O115+S115)</f>
        <v>0</v>
      </c>
      <c r="AH115" s="2">
        <f>(+E115+G115+O115+Y115)</f>
        <v>0</v>
      </c>
      <c r="AI115" s="2">
        <f>(+I115+K115+O115+Q115+S115+W115)</f>
        <v>0</v>
      </c>
      <c r="AJ115" s="2">
        <f>(+C115+E115+G115+K115+O115+Q115+W115)</f>
        <v>0</v>
      </c>
      <c r="AK115" s="2">
        <f>(+E115+K115+M115+O115+Q115)</f>
        <v>0</v>
      </c>
      <c r="AL115" s="2">
        <f>(+G115+I115+Q115+Y115)</f>
        <v>0</v>
      </c>
      <c r="AM115" s="2">
        <f>(+E115+G115+K115+O115+Q115)</f>
        <v>0</v>
      </c>
      <c r="AN115" s="2">
        <f>(+C115+E115+I115+K115+M115+O115+U115)</f>
        <v>0</v>
      </c>
      <c r="AO115" s="4" t="s">
        <v>22</v>
      </c>
      <c r="AP115" s="2">
        <v>42</v>
      </c>
      <c r="AQ115" s="2">
        <v>24</v>
      </c>
      <c r="AR115" s="2">
        <v>37</v>
      </c>
      <c r="AS115" s="2">
        <v>22</v>
      </c>
      <c r="AT115" s="2">
        <v>58</v>
      </c>
      <c r="AU115" s="2">
        <v>55</v>
      </c>
      <c r="AV115" s="2">
        <v>36</v>
      </c>
      <c r="AW115" s="2">
        <v>10</v>
      </c>
      <c r="AX115" s="2">
        <v>31</v>
      </c>
      <c r="AY115" s="2">
        <v>61</v>
      </c>
      <c r="BA115" s="2">
        <f t="shared" si="11"/>
        <v>0</v>
      </c>
      <c r="BD115" s="10">
        <v>0</v>
      </c>
      <c r="BE115" s="2" t="b">
        <f t="shared" si="12"/>
        <v>0</v>
      </c>
      <c r="BF115" s="10">
        <v>0</v>
      </c>
      <c r="BG115" s="2" t="b">
        <f t="shared" si="7"/>
        <v>1</v>
      </c>
      <c r="BH115" s="10">
        <v>88</v>
      </c>
      <c r="BI115" s="2" t="b">
        <f t="shared" si="8"/>
        <v>0</v>
      </c>
      <c r="BJ115" s="10">
        <v>88</v>
      </c>
      <c r="BK115" s="2" t="b">
        <f t="shared" si="9"/>
        <v>1</v>
      </c>
    </row>
    <row r="116" spans="1:64" x14ac:dyDescent="0.2">
      <c r="A116" s="2" t="s">
        <v>452</v>
      </c>
      <c r="B116" s="5" t="s">
        <v>453</v>
      </c>
      <c r="C116" s="2">
        <v>0</v>
      </c>
      <c r="D116" s="5" t="s">
        <v>454</v>
      </c>
      <c r="E116" s="2">
        <v>0</v>
      </c>
      <c r="F116" s="5" t="s">
        <v>351</v>
      </c>
      <c r="G116" s="2">
        <v>0</v>
      </c>
      <c r="H116" s="5" t="s">
        <v>455</v>
      </c>
      <c r="I116" s="2">
        <v>0</v>
      </c>
      <c r="J116" s="5" t="s">
        <v>456</v>
      </c>
      <c r="K116" s="2">
        <v>0</v>
      </c>
      <c r="L116" s="5" t="s">
        <v>278</v>
      </c>
      <c r="M116" s="2">
        <v>0</v>
      </c>
      <c r="N116" s="5" t="s">
        <v>328</v>
      </c>
      <c r="O116" s="2">
        <v>0</v>
      </c>
      <c r="P116" s="5" t="s">
        <v>457</v>
      </c>
      <c r="Q116" s="2">
        <v>0</v>
      </c>
      <c r="R116" s="5" t="s">
        <v>458</v>
      </c>
      <c r="S116" s="2">
        <v>0</v>
      </c>
      <c r="T116" s="5" t="s">
        <v>157</v>
      </c>
      <c r="U116" s="2">
        <v>0</v>
      </c>
      <c r="V116" s="5" t="s">
        <v>459</v>
      </c>
      <c r="W116" s="2">
        <v>0</v>
      </c>
      <c r="X116" s="5" t="s">
        <v>415</v>
      </c>
      <c r="Y116" s="2">
        <v>0</v>
      </c>
      <c r="AB116" s="4" t="s">
        <v>22</v>
      </c>
      <c r="AC116" s="2" t="b">
        <f t="shared" si="10"/>
        <v>0</v>
      </c>
      <c r="AE116" s="2">
        <f>(+I116+K116+Q116+U116+W116+Y116)</f>
        <v>0</v>
      </c>
      <c r="AF116" s="2">
        <f>(+C116+K116+S116+U116)</f>
        <v>0</v>
      </c>
      <c r="AG116" s="2">
        <f>(+E116+K116+Q116+S116+U116+W116+Y116)</f>
        <v>0</v>
      </c>
      <c r="AH116" s="2">
        <f>(+K116+S116+U116)</f>
        <v>0</v>
      </c>
      <c r="AI116" s="2">
        <f>(+I116+M116+Q116+S116+U116+W116)</f>
        <v>0</v>
      </c>
      <c r="AJ116" s="2">
        <f>(+E116+K116+Q116+S116+W116+Y116)</f>
        <v>0</v>
      </c>
      <c r="AK116" s="2">
        <f>(+C116+E116+G116+K116+M116+O116+U116+W116+Y116)</f>
        <v>0</v>
      </c>
      <c r="AL116" s="2">
        <f>(+G116+Q116+S116+U116+Y116)</f>
        <v>0</v>
      </c>
      <c r="AM116" s="2">
        <f>(+C116+K116+Q116+S116+W116+Y116)</f>
        <v>0</v>
      </c>
      <c r="AN116" s="2">
        <f>(+E116+I116+K116+S116)</f>
        <v>0</v>
      </c>
      <c r="AO116" s="4" t="s">
        <v>22</v>
      </c>
      <c r="AP116" s="2">
        <v>186</v>
      </c>
      <c r="AQ116" s="2">
        <v>51</v>
      </c>
      <c r="AR116" s="2">
        <v>198</v>
      </c>
      <c r="AS116" s="2">
        <v>41</v>
      </c>
      <c r="AT116" s="2">
        <v>179</v>
      </c>
      <c r="AU116" s="2">
        <v>178</v>
      </c>
      <c r="AV116" s="2">
        <v>81</v>
      </c>
      <c r="AW116" s="2">
        <v>184</v>
      </c>
      <c r="AX116" s="2">
        <v>184</v>
      </c>
      <c r="AY116" s="2">
        <v>26</v>
      </c>
      <c r="BA116" s="2">
        <f t="shared" si="11"/>
        <v>0</v>
      </c>
      <c r="BD116" s="10">
        <v>0</v>
      </c>
      <c r="BE116" s="2" t="b">
        <f t="shared" si="12"/>
        <v>0</v>
      </c>
      <c r="BF116" s="10">
        <v>0</v>
      </c>
      <c r="BG116" s="2" t="b">
        <f t="shared" si="7"/>
        <v>1</v>
      </c>
      <c r="BH116" s="10">
        <v>0</v>
      </c>
      <c r="BI116" s="2" t="b">
        <f t="shared" si="8"/>
        <v>1</v>
      </c>
      <c r="BJ116" s="10">
        <v>226</v>
      </c>
      <c r="BK116" s="2" t="b">
        <f t="shared" si="9"/>
        <v>0</v>
      </c>
      <c r="BL116" s="2">
        <v>226</v>
      </c>
    </row>
    <row r="117" spans="1:64" x14ac:dyDescent="0.2">
      <c r="A117" s="2" t="s">
        <v>460</v>
      </c>
      <c r="B117" s="5" t="s">
        <v>152</v>
      </c>
      <c r="C117" s="2">
        <v>0</v>
      </c>
      <c r="D117" s="5" t="s">
        <v>306</v>
      </c>
      <c r="E117" s="2">
        <v>0</v>
      </c>
      <c r="F117" s="5" t="s">
        <v>461</v>
      </c>
      <c r="G117" s="2">
        <v>0</v>
      </c>
      <c r="H117" s="5" t="s">
        <v>238</v>
      </c>
      <c r="I117" s="2">
        <v>0</v>
      </c>
      <c r="J117" s="5" t="s">
        <v>380</v>
      </c>
      <c r="K117" s="2">
        <v>0</v>
      </c>
      <c r="L117" s="5" t="s">
        <v>38</v>
      </c>
      <c r="M117" s="2">
        <v>0</v>
      </c>
      <c r="N117" s="5" t="s">
        <v>21</v>
      </c>
      <c r="O117" s="2">
        <v>0</v>
      </c>
      <c r="P117" s="5" t="s">
        <v>113</v>
      </c>
      <c r="Q117" s="2">
        <v>0</v>
      </c>
      <c r="R117" s="5" t="s">
        <v>33</v>
      </c>
      <c r="S117" s="2">
        <v>0</v>
      </c>
      <c r="AB117" s="4" t="s">
        <v>22</v>
      </c>
      <c r="AC117" s="2" t="b">
        <f t="shared" si="10"/>
        <v>0</v>
      </c>
      <c r="AE117" s="2">
        <f>(+C117+E117+G117+S117)</f>
        <v>0</v>
      </c>
      <c r="AF117" s="2">
        <f>(+C117+G117+I117+K117+M117+O117)</f>
        <v>0</v>
      </c>
      <c r="AG117" s="2">
        <f>(+C117+E117+I117+K117+O117+Q117+S117)</f>
        <v>0</v>
      </c>
      <c r="AH117" s="2">
        <f>(+G117+K117+S117)</f>
        <v>0</v>
      </c>
      <c r="AI117" s="2">
        <f>(+C117+E117+I117+K117+S117)</f>
        <v>0</v>
      </c>
      <c r="AJ117" s="2">
        <f>(+E117+G117+I117+K117+S117)</f>
        <v>0</v>
      </c>
      <c r="AK117" s="2">
        <f>(+E117+G117+I117+K117+Q117+S117)</f>
        <v>0</v>
      </c>
      <c r="AO117" s="4" t="s">
        <v>22</v>
      </c>
      <c r="AP117" s="2">
        <v>25</v>
      </c>
      <c r="AQ117" s="2">
        <v>62</v>
      </c>
      <c r="AR117" s="2">
        <v>71</v>
      </c>
      <c r="AS117" s="2">
        <v>10</v>
      </c>
      <c r="AT117" s="2">
        <v>53</v>
      </c>
      <c r="AU117" s="2">
        <v>46</v>
      </c>
      <c r="AV117" s="2">
        <v>52</v>
      </c>
      <c r="BA117" s="2">
        <f t="shared" si="11"/>
        <v>0</v>
      </c>
      <c r="BD117" s="10">
        <v>0</v>
      </c>
      <c r="BE117" s="2" t="b">
        <f t="shared" si="12"/>
        <v>0</v>
      </c>
      <c r="BF117" s="10">
        <v>0</v>
      </c>
      <c r="BG117" s="2" t="b">
        <f t="shared" si="7"/>
        <v>1</v>
      </c>
      <c r="BH117" s="10">
        <v>86</v>
      </c>
      <c r="BI117" s="2" t="b">
        <f t="shared" si="8"/>
        <v>0</v>
      </c>
      <c r="BJ117" s="10">
        <v>76</v>
      </c>
      <c r="BK117" s="2" t="b">
        <f t="shared" si="9"/>
        <v>0</v>
      </c>
    </row>
    <row r="118" spans="1:64" x14ac:dyDescent="0.2">
      <c r="A118" s="2" t="s">
        <v>462</v>
      </c>
      <c r="B118" s="5" t="s">
        <v>58</v>
      </c>
      <c r="C118" s="2">
        <v>0</v>
      </c>
      <c r="D118" s="5" t="s">
        <v>21</v>
      </c>
      <c r="E118" s="2">
        <v>0</v>
      </c>
      <c r="F118" s="5" t="s">
        <v>109</v>
      </c>
      <c r="G118" s="2">
        <v>0</v>
      </c>
      <c r="H118" s="5" t="s">
        <v>50</v>
      </c>
      <c r="I118" s="2">
        <v>0</v>
      </c>
      <c r="J118" s="5" t="s">
        <v>118</v>
      </c>
      <c r="K118" s="2">
        <v>0</v>
      </c>
      <c r="AB118" s="4" t="s">
        <v>22</v>
      </c>
      <c r="AC118" s="2" t="b">
        <f t="shared" si="10"/>
        <v>0</v>
      </c>
      <c r="AE118" s="2">
        <f>(+G118)</f>
        <v>0</v>
      </c>
      <c r="AF118" s="2">
        <f>(+E118+G118+I118+K118)</f>
        <v>0</v>
      </c>
      <c r="AG118" s="2">
        <f>(+C118+E118+I118)</f>
        <v>0</v>
      </c>
      <c r="AH118" s="2">
        <f>(+C118+I118+K118)</f>
        <v>0</v>
      </c>
      <c r="AI118" s="2">
        <f>(+C118+G118+K118)</f>
        <v>0</v>
      </c>
      <c r="AJ118" s="2">
        <f>(+C118+G118)</f>
        <v>0</v>
      </c>
      <c r="AO118" s="4" t="s">
        <v>22</v>
      </c>
      <c r="AP118" s="2">
        <v>11</v>
      </c>
      <c r="AQ118" s="2">
        <v>21</v>
      </c>
      <c r="AR118" s="2">
        <v>26</v>
      </c>
      <c r="AS118" s="2">
        <v>22</v>
      </c>
      <c r="AT118" s="2">
        <v>29</v>
      </c>
      <c r="AU118" s="2">
        <v>28</v>
      </c>
      <c r="BA118" s="2">
        <f t="shared" si="11"/>
        <v>0</v>
      </c>
      <c r="BD118" s="10">
        <v>38</v>
      </c>
      <c r="BE118" s="2" t="b">
        <f t="shared" si="12"/>
        <v>0</v>
      </c>
      <c r="BF118" s="10">
        <v>38</v>
      </c>
      <c r="BG118" s="2" t="b">
        <f t="shared" si="7"/>
        <v>1</v>
      </c>
      <c r="BH118" s="10">
        <v>38</v>
      </c>
      <c r="BI118" s="2" t="b">
        <f t="shared" si="8"/>
        <v>1</v>
      </c>
      <c r="BJ118" s="10">
        <v>38</v>
      </c>
      <c r="BK118" s="2" t="b">
        <f t="shared" si="9"/>
        <v>1</v>
      </c>
    </row>
    <row r="119" spans="1:64" x14ac:dyDescent="0.2">
      <c r="A119" s="2" t="s">
        <v>463</v>
      </c>
      <c r="B119" s="5" t="s">
        <v>20</v>
      </c>
      <c r="C119" s="2">
        <v>0</v>
      </c>
      <c r="D119" s="5" t="s">
        <v>38</v>
      </c>
      <c r="E119" s="2">
        <v>0</v>
      </c>
      <c r="F119" s="5" t="s">
        <v>169</v>
      </c>
      <c r="G119" s="2">
        <v>0</v>
      </c>
      <c r="H119" s="5" t="s">
        <v>9</v>
      </c>
      <c r="I119" s="2">
        <v>0</v>
      </c>
      <c r="J119" s="5" t="s">
        <v>160</v>
      </c>
      <c r="K119" s="2">
        <v>0</v>
      </c>
      <c r="L119" s="5" t="s">
        <v>39</v>
      </c>
      <c r="M119" s="2">
        <v>0</v>
      </c>
      <c r="AB119" s="4" t="s">
        <v>22</v>
      </c>
      <c r="AC119" s="2" t="b">
        <f t="shared" si="10"/>
        <v>0</v>
      </c>
      <c r="AE119" s="2">
        <f>(+C119+K119+M119)</f>
        <v>0</v>
      </c>
      <c r="AF119" s="2">
        <f>(+C119+E119+M119)</f>
        <v>0</v>
      </c>
      <c r="AG119" s="2">
        <f>(+C119+G119+I119)</f>
        <v>0</v>
      </c>
      <c r="AH119" s="2">
        <f>(+G119+I119+M119)</f>
        <v>0</v>
      </c>
      <c r="AI119" s="2">
        <f>(+C119+G119+K119)</f>
        <v>0</v>
      </c>
      <c r="AJ119" s="2">
        <f>(+C119+K119)</f>
        <v>0</v>
      </c>
      <c r="AO119" s="4" t="s">
        <v>22</v>
      </c>
      <c r="AP119" s="2">
        <v>48</v>
      </c>
      <c r="AQ119" s="2">
        <v>36</v>
      </c>
      <c r="AR119" s="2">
        <v>38</v>
      </c>
      <c r="AS119" s="2">
        <v>31</v>
      </c>
      <c r="AT119" s="2">
        <v>46</v>
      </c>
      <c r="AU119" s="2">
        <v>36</v>
      </c>
      <c r="BA119" s="2">
        <f t="shared" si="11"/>
        <v>0</v>
      </c>
      <c r="BD119" s="10">
        <v>72</v>
      </c>
      <c r="BE119" s="2" t="b">
        <f t="shared" si="12"/>
        <v>0</v>
      </c>
      <c r="BF119" s="10">
        <v>72</v>
      </c>
      <c r="BG119" s="2" t="b">
        <f t="shared" si="7"/>
        <v>1</v>
      </c>
      <c r="BH119" s="10">
        <v>72</v>
      </c>
      <c r="BI119" s="2" t="b">
        <f t="shared" si="8"/>
        <v>1</v>
      </c>
      <c r="BJ119" s="10">
        <v>72</v>
      </c>
      <c r="BK119" s="2" t="b">
        <f t="shared" si="9"/>
        <v>1</v>
      </c>
    </row>
    <row r="120" spans="1:64" x14ac:dyDescent="0.2">
      <c r="A120" s="2" t="s">
        <v>464</v>
      </c>
      <c r="B120" s="5" t="s">
        <v>137</v>
      </c>
      <c r="C120" s="2">
        <v>0</v>
      </c>
      <c r="D120" s="5" t="s">
        <v>27</v>
      </c>
      <c r="E120" s="2">
        <v>0</v>
      </c>
      <c r="F120" s="5" t="s">
        <v>28</v>
      </c>
      <c r="G120" s="2">
        <v>0</v>
      </c>
      <c r="H120" s="5" t="s">
        <v>38</v>
      </c>
      <c r="I120" s="2">
        <v>0</v>
      </c>
      <c r="J120" s="5" t="s">
        <v>193</v>
      </c>
      <c r="K120" s="2">
        <v>0</v>
      </c>
      <c r="L120" s="5" t="s">
        <v>109</v>
      </c>
      <c r="M120" s="2">
        <v>0</v>
      </c>
      <c r="AB120" s="4" t="s">
        <v>22</v>
      </c>
      <c r="AC120" s="2" t="b">
        <f t="shared" si="10"/>
        <v>0</v>
      </c>
      <c r="AE120" s="2">
        <f>(+C120+E120+K120+M120)</f>
        <v>0</v>
      </c>
      <c r="AF120" s="2">
        <f>(+C120+E120+G120+I120+K120+M120)</f>
        <v>0</v>
      </c>
      <c r="AG120" s="2">
        <f>(+C120+E120)</f>
        <v>0</v>
      </c>
      <c r="AH120" s="2">
        <f>(+C120+E120+G120+K120)</f>
        <v>0</v>
      </c>
      <c r="AI120" s="2">
        <f>(+C120+G120+K120+M120)</f>
        <v>0</v>
      </c>
      <c r="AJ120" s="2">
        <f>(+C120+G120+K120+M120)</f>
        <v>0</v>
      </c>
      <c r="AK120" s="2">
        <f>(+C120)</f>
        <v>0</v>
      </c>
      <c r="AO120" s="4" t="s">
        <v>22</v>
      </c>
      <c r="AP120" s="2">
        <v>28</v>
      </c>
      <c r="AQ120" s="2">
        <v>56</v>
      </c>
      <c r="AR120" s="2">
        <v>15</v>
      </c>
      <c r="AS120" s="2">
        <v>39</v>
      </c>
      <c r="AT120" s="2">
        <v>33</v>
      </c>
      <c r="AU120" s="2">
        <v>33</v>
      </c>
      <c r="AV120" s="2">
        <v>0</v>
      </c>
      <c r="BA120" s="2">
        <f t="shared" si="11"/>
        <v>0</v>
      </c>
      <c r="BD120" s="10">
        <v>56</v>
      </c>
      <c r="BE120" s="2" t="b">
        <f t="shared" si="12"/>
        <v>0</v>
      </c>
      <c r="BF120" s="10">
        <v>56</v>
      </c>
      <c r="BG120" s="2" t="b">
        <f t="shared" si="7"/>
        <v>1</v>
      </c>
      <c r="BH120" s="10">
        <v>56</v>
      </c>
      <c r="BI120" s="2" t="b">
        <f t="shared" si="8"/>
        <v>1</v>
      </c>
      <c r="BJ120" s="10">
        <v>56</v>
      </c>
      <c r="BK120" s="2" t="b">
        <f t="shared" si="9"/>
        <v>1</v>
      </c>
    </row>
    <row r="121" spans="1:64" x14ac:dyDescent="0.2">
      <c r="A121" s="2" t="s">
        <v>465</v>
      </c>
      <c r="B121" s="5" t="s">
        <v>246</v>
      </c>
      <c r="C121" s="2">
        <v>0</v>
      </c>
      <c r="D121" s="5" t="s">
        <v>206</v>
      </c>
      <c r="E121" s="2">
        <v>0</v>
      </c>
      <c r="F121" s="5" t="s">
        <v>466</v>
      </c>
      <c r="G121" s="2">
        <v>0</v>
      </c>
      <c r="H121" s="5" t="s">
        <v>467</v>
      </c>
      <c r="I121" s="2">
        <v>0</v>
      </c>
      <c r="J121" s="5" t="s">
        <v>468</v>
      </c>
      <c r="K121" s="2">
        <v>0</v>
      </c>
      <c r="L121" s="5" t="s">
        <v>97</v>
      </c>
      <c r="M121" s="2">
        <v>0</v>
      </c>
      <c r="N121" s="5" t="s">
        <v>113</v>
      </c>
      <c r="O121" s="2">
        <v>0</v>
      </c>
      <c r="AB121" s="4" t="s">
        <v>22</v>
      </c>
      <c r="AC121" s="2" t="b">
        <f t="shared" si="10"/>
        <v>0</v>
      </c>
      <c r="AE121" s="2">
        <f>(+C121+G121+I121+K121)</f>
        <v>0</v>
      </c>
      <c r="AF121" s="2">
        <f>(+E121+G121+I121+K121)</f>
        <v>0</v>
      </c>
      <c r="AG121" s="2">
        <f>(+C121+I121+M121+O121)</f>
        <v>0</v>
      </c>
      <c r="AH121" s="2">
        <f>(+K121+M121)</f>
        <v>0</v>
      </c>
      <c r="AI121" s="2">
        <f>(+C121+K121)</f>
        <v>0</v>
      </c>
      <c r="AJ121" s="2">
        <f>(+G121+I121+M121)</f>
        <v>0</v>
      </c>
      <c r="AK121" s="2">
        <f>(+C121+G121+I121+O121)</f>
        <v>0</v>
      </c>
      <c r="AL121" s="2">
        <f>(+E121+G121+I121+K121)</f>
        <v>0</v>
      </c>
      <c r="AM121" s="2">
        <f>(+E121+I121+K121)</f>
        <v>0</v>
      </c>
      <c r="AO121" s="4" t="s">
        <v>22</v>
      </c>
      <c r="AP121" s="2">
        <v>149</v>
      </c>
      <c r="AQ121" s="2">
        <v>39</v>
      </c>
      <c r="AR121" s="2">
        <v>175</v>
      </c>
      <c r="AS121" s="2">
        <v>29</v>
      </c>
      <c r="AT121" s="2">
        <v>137</v>
      </c>
      <c r="AU121" s="2">
        <v>32</v>
      </c>
      <c r="AV121" s="2">
        <v>157</v>
      </c>
      <c r="AW121" s="2">
        <v>39</v>
      </c>
      <c r="AX121" s="2">
        <v>37</v>
      </c>
      <c r="BA121" s="2">
        <f t="shared" si="11"/>
        <v>0</v>
      </c>
      <c r="BD121" s="10">
        <v>204</v>
      </c>
      <c r="BE121" s="2" t="b">
        <f t="shared" si="12"/>
        <v>0</v>
      </c>
      <c r="BF121" s="10">
        <v>204</v>
      </c>
      <c r="BG121" s="2" t="b">
        <f t="shared" si="7"/>
        <v>1</v>
      </c>
      <c r="BH121" s="10">
        <v>204</v>
      </c>
      <c r="BI121" s="2" t="b">
        <f t="shared" si="8"/>
        <v>1</v>
      </c>
      <c r="BJ121" s="10">
        <v>204</v>
      </c>
      <c r="BK121" s="2" t="b">
        <f t="shared" si="9"/>
        <v>1</v>
      </c>
    </row>
    <row r="122" spans="1:64" x14ac:dyDescent="0.2">
      <c r="A122" s="2" t="s">
        <v>469</v>
      </c>
      <c r="B122" s="5" t="s">
        <v>352</v>
      </c>
      <c r="C122" s="2">
        <v>0</v>
      </c>
      <c r="D122" s="5" t="s">
        <v>193</v>
      </c>
      <c r="E122" s="2">
        <v>0</v>
      </c>
      <c r="F122" s="5" t="s">
        <v>32</v>
      </c>
      <c r="G122" s="2">
        <v>0</v>
      </c>
      <c r="H122" s="5" t="s">
        <v>114</v>
      </c>
      <c r="I122" s="2">
        <v>0</v>
      </c>
      <c r="J122" s="5" t="s">
        <v>115</v>
      </c>
      <c r="K122" s="2">
        <v>0</v>
      </c>
      <c r="L122" s="5" t="s">
        <v>83</v>
      </c>
      <c r="M122" s="2">
        <v>0</v>
      </c>
      <c r="AB122" s="4" t="s">
        <v>22</v>
      </c>
      <c r="AC122" s="2" t="b">
        <f t="shared" si="10"/>
        <v>0</v>
      </c>
      <c r="AE122" s="2">
        <f>(+E122+G122+I122)</f>
        <v>0</v>
      </c>
      <c r="AF122" s="2">
        <f>(+C122+E122+I122+K122)</f>
        <v>0</v>
      </c>
      <c r="AG122" s="2">
        <f>(+C122+I122)</f>
        <v>0</v>
      </c>
      <c r="AH122" s="2">
        <f>(+E122+I122+M122)</f>
        <v>0</v>
      </c>
      <c r="AI122" s="2">
        <f>(+E122)</f>
        <v>0</v>
      </c>
      <c r="AJ122" s="2">
        <f>(+E122+I122+K122+M122)</f>
        <v>0</v>
      </c>
      <c r="AK122" s="2">
        <f>(+G122+M122)</f>
        <v>0</v>
      </c>
      <c r="AL122" s="2">
        <f>(+C122)</f>
        <v>0</v>
      </c>
      <c r="AO122" s="4" t="s">
        <v>22</v>
      </c>
      <c r="AP122" s="2">
        <v>27</v>
      </c>
      <c r="AQ122" s="2">
        <v>12</v>
      </c>
      <c r="AR122" s="2">
        <v>2</v>
      </c>
      <c r="AS122" s="2">
        <v>12</v>
      </c>
      <c r="AT122" s="2">
        <v>6</v>
      </c>
      <c r="AU122" s="2">
        <v>16</v>
      </c>
      <c r="AV122" s="2">
        <v>25</v>
      </c>
      <c r="AW122" s="2">
        <v>1</v>
      </c>
      <c r="BA122" s="2">
        <f t="shared" si="11"/>
        <v>0</v>
      </c>
      <c r="BD122" s="10">
        <v>37</v>
      </c>
      <c r="BE122" s="2" t="b">
        <f t="shared" si="12"/>
        <v>0</v>
      </c>
      <c r="BF122" s="10">
        <v>37</v>
      </c>
      <c r="BG122" s="2" t="b">
        <f t="shared" si="7"/>
        <v>1</v>
      </c>
      <c r="BH122" s="10">
        <v>37</v>
      </c>
      <c r="BI122" s="2" t="b">
        <f t="shared" si="8"/>
        <v>1</v>
      </c>
      <c r="BJ122" s="10">
        <v>37</v>
      </c>
      <c r="BK122" s="2" t="b">
        <f t="shared" si="9"/>
        <v>1</v>
      </c>
    </row>
    <row r="123" spans="1:64" x14ac:dyDescent="0.2">
      <c r="A123" s="2" t="s">
        <v>470</v>
      </c>
      <c r="B123" s="5" t="s">
        <v>21</v>
      </c>
      <c r="C123" s="2">
        <v>0</v>
      </c>
      <c r="D123" s="5" t="s">
        <v>20</v>
      </c>
      <c r="E123" s="2">
        <v>0</v>
      </c>
      <c r="F123" s="5" t="s">
        <v>160</v>
      </c>
      <c r="G123" s="2">
        <v>0</v>
      </c>
      <c r="H123" s="5" t="s">
        <v>14</v>
      </c>
      <c r="I123" s="2">
        <v>0</v>
      </c>
      <c r="J123" s="5" t="s">
        <v>433</v>
      </c>
      <c r="K123" s="2">
        <v>0</v>
      </c>
      <c r="AB123" s="4" t="s">
        <v>22</v>
      </c>
      <c r="AC123" s="2" t="b">
        <f t="shared" si="10"/>
        <v>0</v>
      </c>
      <c r="AE123" s="2">
        <f>(+E123+G123+I123+K123)</f>
        <v>0</v>
      </c>
      <c r="AF123" s="2">
        <f>(+C123+E123+K123)</f>
        <v>0</v>
      </c>
      <c r="AG123" s="2">
        <f>(+C123+E123)</f>
        <v>0</v>
      </c>
      <c r="AH123" s="2">
        <f>(+K123)</f>
        <v>0</v>
      </c>
      <c r="AI123" s="2">
        <f>(+E123+G123+I123)</f>
        <v>0</v>
      </c>
      <c r="AJ123" s="2">
        <f>(+E123+G123+K123)</f>
        <v>0</v>
      </c>
      <c r="AO123" s="4" t="s">
        <v>22</v>
      </c>
      <c r="AP123" s="2">
        <v>14</v>
      </c>
      <c r="AQ123" s="2">
        <v>15</v>
      </c>
      <c r="AR123" s="2">
        <v>13</v>
      </c>
      <c r="AS123" s="2">
        <v>2</v>
      </c>
      <c r="AT123" s="2">
        <v>12</v>
      </c>
      <c r="AU123" s="2">
        <v>12</v>
      </c>
      <c r="BA123" s="2">
        <f t="shared" si="11"/>
        <v>0</v>
      </c>
      <c r="BD123" s="10">
        <v>17</v>
      </c>
      <c r="BE123" s="2" t="b">
        <f t="shared" si="12"/>
        <v>0</v>
      </c>
      <c r="BF123" s="10">
        <v>17</v>
      </c>
      <c r="BG123" s="2" t="b">
        <f t="shared" si="7"/>
        <v>1</v>
      </c>
      <c r="BH123" s="10">
        <v>17</v>
      </c>
      <c r="BI123" s="2" t="b">
        <f t="shared" si="8"/>
        <v>1</v>
      </c>
      <c r="BJ123" s="10">
        <v>17</v>
      </c>
      <c r="BK123" s="2" t="b">
        <f t="shared" si="9"/>
        <v>1</v>
      </c>
    </row>
    <row r="124" spans="1:64" x14ac:dyDescent="0.2">
      <c r="A124" s="2" t="s">
        <v>471</v>
      </c>
      <c r="B124" s="5" t="s">
        <v>313</v>
      </c>
      <c r="C124" s="2">
        <v>0</v>
      </c>
      <c r="D124" s="5" t="s">
        <v>472</v>
      </c>
      <c r="E124" s="2">
        <v>0</v>
      </c>
      <c r="F124" s="5" t="s">
        <v>207</v>
      </c>
      <c r="G124" s="2">
        <v>0</v>
      </c>
      <c r="H124" s="5" t="s">
        <v>473</v>
      </c>
      <c r="I124" s="2">
        <v>0</v>
      </c>
      <c r="J124" s="5" t="s">
        <v>474</v>
      </c>
      <c r="K124" s="2">
        <v>0</v>
      </c>
      <c r="L124" s="5" t="s">
        <v>190</v>
      </c>
      <c r="M124" s="2">
        <v>0</v>
      </c>
      <c r="N124" s="5" t="s">
        <v>310</v>
      </c>
      <c r="O124" s="2">
        <v>0</v>
      </c>
      <c r="P124" s="5" t="s">
        <v>475</v>
      </c>
      <c r="Q124" s="2">
        <v>0</v>
      </c>
      <c r="AB124" s="4" t="s">
        <v>22</v>
      </c>
      <c r="AC124" s="2" t="b">
        <f t="shared" si="10"/>
        <v>0</v>
      </c>
      <c r="AE124" s="2">
        <f>(+C124+E124+M124+Q124)</f>
        <v>0</v>
      </c>
      <c r="AF124" s="2">
        <f>(+G124+M124+O124+Q124)</f>
        <v>0</v>
      </c>
      <c r="AG124" s="2">
        <f>(+C124+O124+Q124)</f>
        <v>0</v>
      </c>
      <c r="AH124" s="2">
        <f>(+E124+I124+M124+Q124)</f>
        <v>0</v>
      </c>
      <c r="AI124" s="2">
        <f>(+C124+K124+M124)</f>
        <v>0</v>
      </c>
      <c r="AJ124" s="2">
        <f>(+C124+I124+O124+Q124)</f>
        <v>0</v>
      </c>
      <c r="AK124" s="2">
        <f>(+C124+G124+O124+Q124)</f>
        <v>0</v>
      </c>
      <c r="AL124" s="2">
        <f>(+C124+E124+I124+M124)</f>
        <v>0</v>
      </c>
      <c r="AM124" s="2">
        <f>(+C124+E124+K124+Q124)</f>
        <v>0</v>
      </c>
      <c r="AO124" s="4" t="s">
        <v>22</v>
      </c>
      <c r="AP124" s="2">
        <v>41</v>
      </c>
      <c r="AQ124" s="2">
        <v>42</v>
      </c>
      <c r="AR124" s="2">
        <v>42</v>
      </c>
      <c r="AS124" s="2">
        <v>178</v>
      </c>
      <c r="AT124" s="2">
        <v>23</v>
      </c>
      <c r="AU124" s="2">
        <v>195</v>
      </c>
      <c r="AV124" s="2">
        <v>51</v>
      </c>
      <c r="AW124" s="2">
        <v>179</v>
      </c>
      <c r="AX124" s="2">
        <v>34</v>
      </c>
      <c r="BA124" s="2">
        <f t="shared" si="11"/>
        <v>0</v>
      </c>
      <c r="BD124" s="10">
        <v>0</v>
      </c>
      <c r="BE124" s="2" t="b">
        <f t="shared" si="12"/>
        <v>0</v>
      </c>
      <c r="BF124" s="10">
        <v>0</v>
      </c>
      <c r="BG124" s="2" t="b">
        <f t="shared" si="7"/>
        <v>1</v>
      </c>
      <c r="BH124" s="10">
        <v>214</v>
      </c>
      <c r="BI124" s="2" t="b">
        <f t="shared" si="8"/>
        <v>0</v>
      </c>
      <c r="BJ124" s="10">
        <v>214</v>
      </c>
      <c r="BK124" s="2" t="b">
        <f t="shared" si="9"/>
        <v>1</v>
      </c>
    </row>
    <row r="125" spans="1:64" x14ac:dyDescent="0.2">
      <c r="A125" s="2" t="s">
        <v>476</v>
      </c>
      <c r="B125" s="5" t="s">
        <v>238</v>
      </c>
      <c r="C125" s="2">
        <v>0</v>
      </c>
      <c r="D125" s="5" t="s">
        <v>118</v>
      </c>
      <c r="E125" s="2">
        <v>0</v>
      </c>
      <c r="F125" s="5" t="s">
        <v>141</v>
      </c>
      <c r="G125" s="2">
        <v>0</v>
      </c>
      <c r="H125" s="5" t="s">
        <v>477</v>
      </c>
      <c r="I125" s="2">
        <v>0</v>
      </c>
      <c r="J125" s="5" t="s">
        <v>322</v>
      </c>
      <c r="K125" s="2">
        <v>0</v>
      </c>
      <c r="L125" s="5" t="s">
        <v>228</v>
      </c>
      <c r="M125" s="2">
        <v>0</v>
      </c>
      <c r="N125" s="5" t="s">
        <v>478</v>
      </c>
      <c r="O125" s="2">
        <v>0</v>
      </c>
      <c r="P125" s="5" t="s">
        <v>255</v>
      </c>
      <c r="Q125" s="2">
        <v>0</v>
      </c>
      <c r="R125" s="5" t="s">
        <v>479</v>
      </c>
      <c r="S125" s="2">
        <v>0</v>
      </c>
      <c r="AB125" s="4" t="s">
        <v>22</v>
      </c>
      <c r="AC125" s="2" t="b">
        <f t="shared" si="10"/>
        <v>0</v>
      </c>
      <c r="AE125" s="2">
        <f>(+G125+O125)</f>
        <v>0</v>
      </c>
      <c r="AF125" s="2">
        <f>(+C125+E125+G125+I125+K125+Q125)</f>
        <v>0</v>
      </c>
      <c r="AG125" s="2">
        <f>(+C125+I125+O125+S125)</f>
        <v>0</v>
      </c>
      <c r="AH125" s="2">
        <f>(+E125+G125+K125+O125+Q125)</f>
        <v>0</v>
      </c>
      <c r="AI125" s="2">
        <f>(+C125+E125+G125+M125+S125)</f>
        <v>0</v>
      </c>
      <c r="AJ125" s="2">
        <f>(+C125+G125+I125+Q125)</f>
        <v>0</v>
      </c>
      <c r="AK125" s="2">
        <f>(+C125+S125)</f>
        <v>0</v>
      </c>
      <c r="AL125" s="2">
        <f>(+I125+M125+S125)</f>
        <v>0</v>
      </c>
      <c r="AM125" s="2">
        <f>(+G125+I125+K125+S125)</f>
        <v>0</v>
      </c>
      <c r="AN125" s="2">
        <f>(+O125+S125)</f>
        <v>0</v>
      </c>
      <c r="AO125" s="4" t="s">
        <v>22</v>
      </c>
      <c r="AP125" s="2">
        <v>15</v>
      </c>
      <c r="AQ125" s="2">
        <v>53</v>
      </c>
      <c r="AR125" s="2">
        <v>44</v>
      </c>
      <c r="AS125" s="2">
        <v>28</v>
      </c>
      <c r="AT125" s="2">
        <v>70</v>
      </c>
      <c r="AU125" s="2">
        <v>42</v>
      </c>
      <c r="AV125" s="2">
        <v>31</v>
      </c>
      <c r="AW125" s="2">
        <v>50</v>
      </c>
      <c r="AX125" s="2">
        <v>52</v>
      </c>
      <c r="AY125" s="2">
        <v>19</v>
      </c>
      <c r="BA125" s="2">
        <f t="shared" si="11"/>
        <v>0</v>
      </c>
      <c r="BD125" s="10">
        <v>90</v>
      </c>
      <c r="BE125" s="2" t="b">
        <f t="shared" si="12"/>
        <v>0</v>
      </c>
      <c r="BF125" s="10">
        <v>90</v>
      </c>
      <c r="BG125" s="2" t="b">
        <f t="shared" si="7"/>
        <v>1</v>
      </c>
      <c r="BH125" s="10">
        <v>90</v>
      </c>
      <c r="BI125" s="2" t="b">
        <f t="shared" si="8"/>
        <v>1</v>
      </c>
      <c r="BJ125" s="10">
        <v>90</v>
      </c>
      <c r="BK125" s="2" t="b">
        <f t="shared" si="9"/>
        <v>1</v>
      </c>
    </row>
    <row r="126" spans="1:64" x14ac:dyDescent="0.2">
      <c r="A126" s="2" t="s">
        <v>480</v>
      </c>
      <c r="B126" s="5" t="s">
        <v>39</v>
      </c>
      <c r="C126" s="2">
        <v>0</v>
      </c>
      <c r="D126" s="5" t="s">
        <v>44</v>
      </c>
      <c r="E126" s="2">
        <v>0</v>
      </c>
      <c r="F126" s="5" t="s">
        <v>47</v>
      </c>
      <c r="G126" s="2">
        <v>0</v>
      </c>
      <c r="H126" s="5" t="s">
        <v>24</v>
      </c>
      <c r="I126" s="2">
        <v>0</v>
      </c>
      <c r="J126" s="5" t="s">
        <v>182</v>
      </c>
      <c r="K126" s="2">
        <v>0</v>
      </c>
      <c r="L126" s="5" t="s">
        <v>481</v>
      </c>
      <c r="M126" s="2">
        <v>0</v>
      </c>
      <c r="N126" s="5" t="s">
        <v>310</v>
      </c>
      <c r="O126" s="2">
        <v>0</v>
      </c>
      <c r="AB126" s="4" t="s">
        <v>22</v>
      </c>
      <c r="AC126" s="2" t="b">
        <f t="shared" si="10"/>
        <v>0</v>
      </c>
      <c r="AE126" s="2">
        <f>(+C126+G126+K126)</f>
        <v>0</v>
      </c>
      <c r="AF126" s="2">
        <f>(+C126+O126)</f>
        <v>0</v>
      </c>
      <c r="AG126" s="2">
        <f>(+I126+K126+O126)</f>
        <v>0</v>
      </c>
      <c r="AH126" s="2">
        <f>(+C126+G126+K126+M126)</f>
        <v>0</v>
      </c>
      <c r="AI126" s="2">
        <f>(+E126+I126+K126)</f>
        <v>0</v>
      </c>
      <c r="AJ126" s="2">
        <f>(+E126+M126+O126)</f>
        <v>0</v>
      </c>
      <c r="AK126" s="2">
        <f>(+M126+O126)</f>
        <v>0</v>
      </c>
      <c r="AL126" s="2">
        <f>(+K126+M126)</f>
        <v>0</v>
      </c>
      <c r="AO126" s="4" t="s">
        <v>22</v>
      </c>
      <c r="AP126" s="2">
        <v>14</v>
      </c>
      <c r="AQ126" s="2">
        <v>16</v>
      </c>
      <c r="AR126" s="2">
        <v>25</v>
      </c>
      <c r="AS126" s="2">
        <v>183</v>
      </c>
      <c r="AT126" s="2">
        <v>17</v>
      </c>
      <c r="AU126" s="2">
        <v>183</v>
      </c>
      <c r="AV126" s="2">
        <v>180</v>
      </c>
      <c r="AW126" s="2">
        <v>175</v>
      </c>
      <c r="BA126" s="2">
        <f t="shared" si="11"/>
        <v>0</v>
      </c>
      <c r="BD126" s="10">
        <v>0</v>
      </c>
      <c r="BE126" s="2" t="b">
        <f t="shared" si="12"/>
        <v>0</v>
      </c>
      <c r="BF126" s="10">
        <v>205</v>
      </c>
      <c r="BG126" s="2" t="b">
        <f t="shared" si="7"/>
        <v>0</v>
      </c>
      <c r="BH126" s="10">
        <v>205</v>
      </c>
      <c r="BI126" s="2" t="b">
        <f t="shared" si="8"/>
        <v>1</v>
      </c>
      <c r="BJ126" s="10">
        <v>205</v>
      </c>
      <c r="BK126" s="2" t="b">
        <f t="shared" si="9"/>
        <v>1</v>
      </c>
    </row>
    <row r="127" spans="1:64" x14ac:dyDescent="0.2">
      <c r="A127" s="2" t="s">
        <v>482</v>
      </c>
      <c r="B127" s="5" t="s">
        <v>202</v>
      </c>
      <c r="C127" s="2">
        <v>0</v>
      </c>
      <c r="D127" s="5" t="s">
        <v>250</v>
      </c>
      <c r="E127" s="2">
        <v>0</v>
      </c>
      <c r="F127" s="5" t="s">
        <v>483</v>
      </c>
      <c r="G127" s="2">
        <v>0</v>
      </c>
      <c r="H127" s="5" t="s">
        <v>484</v>
      </c>
      <c r="I127" s="2">
        <v>0</v>
      </c>
      <c r="J127" s="5" t="s">
        <v>485</v>
      </c>
      <c r="K127" s="2">
        <v>0</v>
      </c>
      <c r="L127" s="5" t="s">
        <v>486</v>
      </c>
      <c r="M127" s="2">
        <v>0</v>
      </c>
      <c r="N127" s="5" t="s">
        <v>487</v>
      </c>
      <c r="O127" s="2">
        <v>0</v>
      </c>
      <c r="P127" s="5" t="s">
        <v>441</v>
      </c>
      <c r="Q127" s="2">
        <v>0</v>
      </c>
      <c r="R127" s="5" t="s">
        <v>488</v>
      </c>
      <c r="S127" s="2">
        <v>0</v>
      </c>
      <c r="T127" s="5" t="s">
        <v>272</v>
      </c>
      <c r="U127" s="2">
        <v>0</v>
      </c>
      <c r="V127" s="5" t="s">
        <v>302</v>
      </c>
      <c r="W127" s="2">
        <v>0</v>
      </c>
      <c r="X127" s="5" t="s">
        <v>489</v>
      </c>
      <c r="Y127" s="2">
        <v>0</v>
      </c>
      <c r="AB127" s="4" t="s">
        <v>22</v>
      </c>
      <c r="AC127" s="2" t="b">
        <f t="shared" si="10"/>
        <v>0</v>
      </c>
      <c r="AE127" s="2">
        <f>(+G127+M127+O127+Q127+U127)</f>
        <v>0</v>
      </c>
      <c r="AF127" s="2">
        <f>(+C127+E127+G127+K127+M127+O127)</f>
        <v>0</v>
      </c>
      <c r="AG127" s="2">
        <f>(+K127+M127+O127+Q127)</f>
        <v>0</v>
      </c>
      <c r="AH127" s="2">
        <f>(+G127+I127+K127+O127+Q127+Y127)</f>
        <v>0</v>
      </c>
      <c r="AI127" s="2">
        <f>(+C127+G127+M127+O127+Y127)</f>
        <v>0</v>
      </c>
      <c r="AJ127" s="2">
        <f>(+K127+M127+O127+Q127+W127+Y127)</f>
        <v>0</v>
      </c>
      <c r="AK127" s="2">
        <f>(+E127+Q127+S127+W127)</f>
        <v>0</v>
      </c>
      <c r="AL127" s="2">
        <f>(+E127+K127+M127+Q127+S127+Y127)</f>
        <v>0</v>
      </c>
      <c r="AM127" s="2">
        <f>(+M127+O127+S127+U127+Y127)</f>
        <v>0</v>
      </c>
      <c r="AN127" s="2">
        <f>(+G127+I127+M127+O127+S127)</f>
        <v>0</v>
      </c>
      <c r="AO127" s="4" t="s">
        <v>22</v>
      </c>
      <c r="AP127" s="2">
        <v>48</v>
      </c>
      <c r="AQ127" s="2">
        <v>50</v>
      </c>
      <c r="AR127" s="2">
        <v>42</v>
      </c>
      <c r="AS127" s="2">
        <v>60</v>
      </c>
      <c r="AT127" s="2">
        <v>44</v>
      </c>
      <c r="AU127" s="2">
        <v>58</v>
      </c>
      <c r="AV127" s="2">
        <v>49</v>
      </c>
      <c r="AW127" s="2">
        <v>73</v>
      </c>
      <c r="AX127" s="2">
        <v>52</v>
      </c>
      <c r="AY127" s="2">
        <v>60</v>
      </c>
      <c r="BA127" s="2">
        <f t="shared" si="11"/>
        <v>0</v>
      </c>
      <c r="BD127" s="10">
        <v>0</v>
      </c>
      <c r="BE127" s="2" t="b">
        <f t="shared" si="12"/>
        <v>0</v>
      </c>
      <c r="BF127" s="10">
        <v>0</v>
      </c>
      <c r="BG127" s="2" t="b">
        <f t="shared" si="7"/>
        <v>1</v>
      </c>
      <c r="BH127" s="10">
        <v>0</v>
      </c>
      <c r="BI127" s="2" t="b">
        <f t="shared" si="8"/>
        <v>1</v>
      </c>
      <c r="BJ127" s="10">
        <v>108</v>
      </c>
      <c r="BK127" s="2" t="b">
        <f t="shared" si="9"/>
        <v>0</v>
      </c>
    </row>
    <row r="128" spans="1:64" x14ac:dyDescent="0.2">
      <c r="A128" s="2" t="s">
        <v>490</v>
      </c>
      <c r="B128" s="5" t="s">
        <v>50</v>
      </c>
      <c r="C128" s="2">
        <v>0</v>
      </c>
      <c r="D128" s="5" t="s">
        <v>40</v>
      </c>
      <c r="E128" s="2">
        <v>0</v>
      </c>
      <c r="F128" s="5" t="s">
        <v>118</v>
      </c>
      <c r="G128" s="2">
        <v>0</v>
      </c>
      <c r="H128" s="5" t="s">
        <v>47</v>
      </c>
      <c r="I128" s="2">
        <v>0</v>
      </c>
      <c r="J128" s="5" t="s">
        <v>43</v>
      </c>
      <c r="K128" s="2">
        <v>0</v>
      </c>
      <c r="L128" s="5" t="s">
        <v>9</v>
      </c>
      <c r="M128" s="2">
        <v>0</v>
      </c>
      <c r="AB128" s="4" t="s">
        <v>22</v>
      </c>
      <c r="AC128" s="2" t="b">
        <f t="shared" si="10"/>
        <v>0</v>
      </c>
      <c r="AE128" s="2">
        <f>(+E128+I128)</f>
        <v>0</v>
      </c>
      <c r="AF128" s="2">
        <f>(+C128+G128)</f>
        <v>0</v>
      </c>
      <c r="AG128" s="2">
        <f>(+C128+E128+K128+M128)</f>
        <v>0</v>
      </c>
      <c r="AH128" s="2">
        <f>(+C128+E128+G128+I128+M128)</f>
        <v>0</v>
      </c>
      <c r="AI128" s="2">
        <f>(+G128+K128)</f>
        <v>0</v>
      </c>
      <c r="AJ128" s="2">
        <f>(+K128)</f>
        <v>0</v>
      </c>
      <c r="AO128" s="4" t="s">
        <v>22</v>
      </c>
      <c r="AP128" s="2">
        <v>209</v>
      </c>
      <c r="AQ128" s="2">
        <v>20</v>
      </c>
      <c r="AR128" s="2">
        <v>233</v>
      </c>
      <c r="AS128" s="2">
        <v>241</v>
      </c>
      <c r="AT128" s="2">
        <v>20</v>
      </c>
      <c r="AU128" s="2">
        <v>15</v>
      </c>
      <c r="BA128" s="2">
        <f t="shared" si="11"/>
        <v>0</v>
      </c>
      <c r="BD128" s="10">
        <v>256</v>
      </c>
      <c r="BE128" s="2" t="b">
        <f t="shared" si="12"/>
        <v>0</v>
      </c>
      <c r="BF128" s="10">
        <v>256</v>
      </c>
      <c r="BG128" s="2" t="b">
        <f t="shared" si="7"/>
        <v>1</v>
      </c>
      <c r="BH128" s="10">
        <v>256</v>
      </c>
      <c r="BI128" s="2" t="b">
        <f t="shared" si="8"/>
        <v>1</v>
      </c>
      <c r="BJ128" s="10">
        <v>256</v>
      </c>
      <c r="BK128" s="2" t="b">
        <f t="shared" si="9"/>
        <v>1</v>
      </c>
    </row>
    <row r="129" spans="1:64" x14ac:dyDescent="0.2">
      <c r="A129" s="2" t="s">
        <v>491</v>
      </c>
      <c r="B129" s="5" t="s">
        <v>33</v>
      </c>
      <c r="C129" s="2">
        <v>0</v>
      </c>
      <c r="D129" s="5" t="s">
        <v>38</v>
      </c>
      <c r="E129" s="2">
        <v>0</v>
      </c>
      <c r="F129" s="5" t="s">
        <v>251</v>
      </c>
      <c r="G129" s="2">
        <v>0</v>
      </c>
      <c r="H129" s="5" t="s">
        <v>45</v>
      </c>
      <c r="I129" s="2">
        <v>0</v>
      </c>
      <c r="J129" s="5" t="s">
        <v>207</v>
      </c>
      <c r="K129" s="2">
        <v>0</v>
      </c>
      <c r="L129" s="5" t="s">
        <v>50</v>
      </c>
      <c r="M129" s="2">
        <v>0</v>
      </c>
      <c r="N129" s="5" t="s">
        <v>81</v>
      </c>
      <c r="O129" s="2">
        <v>0</v>
      </c>
      <c r="AB129" s="4" t="s">
        <v>22</v>
      </c>
      <c r="AC129" s="2" t="b">
        <f t="shared" si="10"/>
        <v>0</v>
      </c>
      <c r="AE129" s="2">
        <f>(+C129+I129+O129)</f>
        <v>0</v>
      </c>
      <c r="AF129" s="2">
        <f>(+E129+K129+M129+O129)</f>
        <v>0</v>
      </c>
      <c r="AG129" s="2">
        <f>(+C129+M129+O129)</f>
        <v>0</v>
      </c>
      <c r="AH129" s="2">
        <f>(+C129+G129+M129+O129)</f>
        <v>0</v>
      </c>
      <c r="AI129" s="2">
        <f>(+C129+O129)</f>
        <v>0</v>
      </c>
      <c r="AJ129" s="2">
        <f>(+C129+I129)</f>
        <v>0</v>
      </c>
      <c r="AK129" s="2">
        <f>(+C129+K129)</f>
        <v>0</v>
      </c>
      <c r="AL129" s="2">
        <f>(+G129+O129)</f>
        <v>0</v>
      </c>
      <c r="AO129" s="4" t="s">
        <v>22</v>
      </c>
      <c r="AP129" s="2">
        <v>25</v>
      </c>
      <c r="AQ129" s="2">
        <v>28</v>
      </c>
      <c r="AR129" s="2">
        <v>20</v>
      </c>
      <c r="AS129" s="2">
        <v>34</v>
      </c>
      <c r="AT129" s="2">
        <v>10</v>
      </c>
      <c r="AU129" s="2">
        <v>23</v>
      </c>
      <c r="AV129" s="2">
        <v>16</v>
      </c>
      <c r="AW129" s="2">
        <v>16</v>
      </c>
      <c r="BA129" s="2">
        <f t="shared" si="11"/>
        <v>0</v>
      </c>
      <c r="BD129" s="10">
        <v>65</v>
      </c>
      <c r="BE129" s="2" t="b">
        <f t="shared" si="12"/>
        <v>0</v>
      </c>
      <c r="BF129" s="10">
        <v>65</v>
      </c>
      <c r="BG129" s="2" t="b">
        <f t="shared" si="7"/>
        <v>1</v>
      </c>
      <c r="BH129" s="10">
        <v>65</v>
      </c>
      <c r="BI129" s="2" t="b">
        <f t="shared" si="8"/>
        <v>1</v>
      </c>
      <c r="BJ129" s="10">
        <v>65</v>
      </c>
      <c r="BK129" s="2" t="b">
        <f t="shared" si="9"/>
        <v>1</v>
      </c>
    </row>
    <row r="130" spans="1:64" x14ac:dyDescent="0.2">
      <c r="A130" s="2" t="s">
        <v>492</v>
      </c>
      <c r="B130" s="5" t="s">
        <v>384</v>
      </c>
      <c r="C130" s="2">
        <v>0</v>
      </c>
      <c r="D130" s="5" t="s">
        <v>377</v>
      </c>
      <c r="E130" s="2">
        <v>0</v>
      </c>
      <c r="F130" s="5" t="s">
        <v>8</v>
      </c>
      <c r="G130" s="2">
        <v>0</v>
      </c>
      <c r="H130" s="5" t="s">
        <v>493</v>
      </c>
      <c r="I130" s="2">
        <v>0</v>
      </c>
      <c r="J130" s="5" t="s">
        <v>494</v>
      </c>
      <c r="K130" s="2">
        <v>0</v>
      </c>
      <c r="L130" s="5" t="s">
        <v>495</v>
      </c>
      <c r="M130" s="2">
        <v>0</v>
      </c>
      <c r="N130" s="5" t="s">
        <v>423</v>
      </c>
      <c r="O130" s="2">
        <v>0</v>
      </c>
      <c r="P130" s="5" t="s">
        <v>94</v>
      </c>
      <c r="Q130" s="2">
        <v>0</v>
      </c>
      <c r="AB130" s="4" t="s">
        <v>22</v>
      </c>
      <c r="AC130" s="2" t="b">
        <f t="shared" si="10"/>
        <v>0</v>
      </c>
      <c r="AE130" s="2">
        <f>(+C130+E130+K130+M130)</f>
        <v>0</v>
      </c>
      <c r="AF130" s="2">
        <f>(+C130+E130+K130)</f>
        <v>0</v>
      </c>
      <c r="AG130" s="2">
        <f>(+G130+I130+K130+Q130)</f>
        <v>0</v>
      </c>
      <c r="AH130" s="2">
        <f>(+I130+M130+Q130)</f>
        <v>0</v>
      </c>
      <c r="AI130" s="2">
        <f>(+C130+E130+M130+Q130)</f>
        <v>0</v>
      </c>
      <c r="AJ130" s="2">
        <f>(+C130+I130+M130+O130+Q130)</f>
        <v>0</v>
      </c>
      <c r="AK130" s="2">
        <f>(+C130+E130+K130+M130+Q130)</f>
        <v>0</v>
      </c>
      <c r="AL130" s="2">
        <f>(+C130+K130+M130+Q130)</f>
        <v>0</v>
      </c>
      <c r="AM130" s="2">
        <f>(+C130+E130+I130+K130+M130+Q130)</f>
        <v>0</v>
      </c>
      <c r="AO130" s="4" t="s">
        <v>22</v>
      </c>
      <c r="AP130" s="2">
        <v>26</v>
      </c>
      <c r="AQ130" s="2">
        <v>21</v>
      </c>
      <c r="AR130" s="2">
        <v>37</v>
      </c>
      <c r="AS130" s="2">
        <v>25</v>
      </c>
      <c r="AT130" s="2">
        <v>44</v>
      </c>
      <c r="AU130" s="2">
        <v>62</v>
      </c>
      <c r="AV130" s="2">
        <v>45</v>
      </c>
      <c r="AW130" s="2">
        <v>45</v>
      </c>
      <c r="AX130" s="2">
        <v>46</v>
      </c>
      <c r="BA130" s="2">
        <f t="shared" si="11"/>
        <v>0</v>
      </c>
      <c r="BD130" s="10">
        <v>0</v>
      </c>
      <c r="BE130" s="2" t="b">
        <f t="shared" si="12"/>
        <v>0</v>
      </c>
      <c r="BF130" s="10">
        <v>0</v>
      </c>
      <c r="BG130" s="2" t="b">
        <f t="shared" ref="BG130:BG193" si="13">BD130=BF130</f>
        <v>1</v>
      </c>
      <c r="BH130" s="10">
        <v>79</v>
      </c>
      <c r="BI130" s="2" t="b">
        <f t="shared" ref="BI130:BI193" si="14">BF130=BH130</f>
        <v>0</v>
      </c>
      <c r="BJ130" s="10">
        <v>79</v>
      </c>
      <c r="BK130" s="2" t="b">
        <f t="shared" ref="BK130:BK193" si="15">BH130=BJ130</f>
        <v>1</v>
      </c>
    </row>
    <row r="131" spans="1:64" x14ac:dyDescent="0.2">
      <c r="A131" s="2" t="s">
        <v>496</v>
      </c>
      <c r="B131" s="5" t="s">
        <v>143</v>
      </c>
      <c r="C131" s="2">
        <v>0</v>
      </c>
      <c r="D131" s="5" t="s">
        <v>113</v>
      </c>
      <c r="E131" s="2">
        <v>0</v>
      </c>
      <c r="F131" s="5" t="s">
        <v>497</v>
      </c>
      <c r="G131" s="2">
        <v>0</v>
      </c>
      <c r="H131" s="5" t="s">
        <v>58</v>
      </c>
      <c r="I131" s="2">
        <v>0</v>
      </c>
      <c r="J131" s="5" t="s">
        <v>33</v>
      </c>
      <c r="K131" s="2">
        <v>0</v>
      </c>
      <c r="L131" s="5" t="s">
        <v>498</v>
      </c>
      <c r="M131" s="2">
        <v>0</v>
      </c>
      <c r="N131" s="5" t="s">
        <v>499</v>
      </c>
      <c r="O131" s="2">
        <v>0</v>
      </c>
      <c r="P131" s="5" t="s">
        <v>50</v>
      </c>
      <c r="Q131" s="2">
        <v>0</v>
      </c>
      <c r="AB131" s="4" t="s">
        <v>22</v>
      </c>
      <c r="AC131" s="2" t="b">
        <f t="shared" ref="AC131:AC194" si="16">AND(AE131=AP131,AF131=AQ131,AG131=AR131,AH131=AS131,AI131=AT131,AJ131=AU131,AK131=AV131,AL131=AW131,AM131=AX131,AN131=AY131)</f>
        <v>0</v>
      </c>
      <c r="AE131" s="2">
        <f>(+C131+G131+K131+O131)</f>
        <v>0</v>
      </c>
      <c r="AF131" s="2">
        <f>(+G131+M131+O131+Q131)</f>
        <v>0</v>
      </c>
      <c r="AG131" s="2">
        <f>(+C131+E131+G131+I131+K131+M131+Q131)</f>
        <v>0</v>
      </c>
      <c r="AH131" s="2">
        <f>(+C131+I131+K131+M131+O131+Q131)</f>
        <v>0</v>
      </c>
      <c r="AI131" s="2">
        <f>(+C131+G131+I131+K131+M131+O131)</f>
        <v>0</v>
      </c>
      <c r="AJ131" s="2">
        <f>(+I131+K131)</f>
        <v>0</v>
      </c>
      <c r="AK131" s="2">
        <f>(+C131+E131+G131+K131+M131+O131)</f>
        <v>0</v>
      </c>
      <c r="AL131" s="2">
        <f>(+C131+G131+M131)</f>
        <v>0</v>
      </c>
      <c r="AO131" s="4" t="s">
        <v>22</v>
      </c>
      <c r="AP131" s="2">
        <v>44</v>
      </c>
      <c r="AQ131" s="2">
        <v>49</v>
      </c>
      <c r="AR131" s="2">
        <v>74</v>
      </c>
      <c r="AS131" s="2">
        <v>76</v>
      </c>
      <c r="AT131" s="2">
        <v>73</v>
      </c>
      <c r="AU131" s="2">
        <v>30</v>
      </c>
      <c r="AV131" s="2">
        <v>73</v>
      </c>
      <c r="AW131" s="2">
        <v>24</v>
      </c>
      <c r="BA131" s="2">
        <f t="shared" ref="BA131:BA194" si="17">SUM(B131:AA131)</f>
        <v>0</v>
      </c>
      <c r="BD131" s="10">
        <v>0</v>
      </c>
      <c r="BE131" s="2" t="b">
        <f t="shared" ref="BE131:BE194" si="18">AND(BD131=BA131,BD131&lt;&gt;0)</f>
        <v>0</v>
      </c>
      <c r="BF131" s="10">
        <v>0</v>
      </c>
      <c r="BG131" s="2" t="b">
        <f t="shared" si="13"/>
        <v>1</v>
      </c>
      <c r="BH131" s="10">
        <v>93</v>
      </c>
      <c r="BI131" s="2" t="b">
        <f t="shared" si="14"/>
        <v>0</v>
      </c>
      <c r="BJ131" s="10">
        <v>93</v>
      </c>
      <c r="BK131" s="2" t="b">
        <f t="shared" si="15"/>
        <v>1</v>
      </c>
    </row>
    <row r="132" spans="1:64" x14ac:dyDescent="0.2">
      <c r="A132" s="2" t="s">
        <v>500</v>
      </c>
      <c r="B132" s="5" t="s">
        <v>21</v>
      </c>
      <c r="C132" s="2">
        <v>0</v>
      </c>
      <c r="D132" s="5" t="s">
        <v>119</v>
      </c>
      <c r="E132" s="2">
        <v>0</v>
      </c>
      <c r="F132" s="5" t="s">
        <v>169</v>
      </c>
      <c r="G132" s="2">
        <v>0</v>
      </c>
      <c r="H132" s="5" t="s">
        <v>44</v>
      </c>
      <c r="I132" s="2">
        <v>0</v>
      </c>
      <c r="J132" s="5" t="s">
        <v>245</v>
      </c>
      <c r="K132" s="2">
        <v>0</v>
      </c>
      <c r="L132" s="5" t="s">
        <v>27</v>
      </c>
      <c r="M132" s="2">
        <v>0</v>
      </c>
      <c r="AB132" s="4" t="s">
        <v>22</v>
      </c>
      <c r="AC132" s="2" t="b">
        <f t="shared" si="16"/>
        <v>0</v>
      </c>
      <c r="AE132" s="2">
        <f>(+K132+M132)</f>
        <v>0</v>
      </c>
      <c r="AF132" s="2">
        <f>(+C132+M132)</f>
        <v>0</v>
      </c>
      <c r="AG132" s="2">
        <f>(+C132+G132+K132+M132)</f>
        <v>0</v>
      </c>
      <c r="AH132" s="2">
        <f>(+E132+G132+M132)</f>
        <v>0</v>
      </c>
      <c r="AI132" s="2">
        <f>(+E132+G132+I132)</f>
        <v>0</v>
      </c>
      <c r="AJ132" s="2">
        <f>(+E132+I132+K132)</f>
        <v>0</v>
      </c>
      <c r="AO132" s="4" t="s">
        <v>22</v>
      </c>
      <c r="AP132" s="2">
        <v>25</v>
      </c>
      <c r="AQ132" s="2">
        <v>31</v>
      </c>
      <c r="AR132" s="2">
        <v>57</v>
      </c>
      <c r="AS132" s="2">
        <v>38</v>
      </c>
      <c r="AT132" s="2">
        <v>32</v>
      </c>
      <c r="AU132" s="2">
        <v>30</v>
      </c>
      <c r="BA132" s="2">
        <f t="shared" si="17"/>
        <v>0</v>
      </c>
      <c r="BD132" s="10">
        <v>75</v>
      </c>
      <c r="BE132" s="2" t="b">
        <f t="shared" si="18"/>
        <v>0</v>
      </c>
      <c r="BF132" s="10">
        <v>75</v>
      </c>
      <c r="BG132" s="2" t="b">
        <f t="shared" si="13"/>
        <v>1</v>
      </c>
      <c r="BH132" s="10">
        <v>75</v>
      </c>
      <c r="BI132" s="2" t="b">
        <f t="shared" si="14"/>
        <v>1</v>
      </c>
      <c r="BJ132" s="10">
        <v>75</v>
      </c>
      <c r="BK132" s="2" t="b">
        <f t="shared" si="15"/>
        <v>1</v>
      </c>
    </row>
    <row r="133" spans="1:64" x14ac:dyDescent="0.2">
      <c r="A133" s="2" t="s">
        <v>501</v>
      </c>
      <c r="B133" s="5" t="s">
        <v>25</v>
      </c>
      <c r="C133" s="2">
        <v>0</v>
      </c>
      <c r="D133" s="5" t="s">
        <v>282</v>
      </c>
      <c r="E133" s="2">
        <v>0</v>
      </c>
      <c r="F133" s="5" t="s">
        <v>502</v>
      </c>
      <c r="G133" s="2">
        <v>0</v>
      </c>
      <c r="H133" s="5" t="s">
        <v>125</v>
      </c>
      <c r="I133" s="2">
        <v>0</v>
      </c>
      <c r="J133" s="5" t="s">
        <v>33</v>
      </c>
      <c r="K133" s="2">
        <v>0</v>
      </c>
      <c r="L133" s="5" t="s">
        <v>104</v>
      </c>
      <c r="M133" s="2">
        <v>0</v>
      </c>
      <c r="AB133" s="4" t="s">
        <v>22</v>
      </c>
      <c r="AC133" s="2" t="b">
        <f t="shared" si="16"/>
        <v>0</v>
      </c>
      <c r="AE133" s="2">
        <f>(+G133+I133+K133+M133)</f>
        <v>0</v>
      </c>
      <c r="AF133" s="2">
        <f>(+E133+G133+I133)</f>
        <v>0</v>
      </c>
      <c r="AG133" s="2">
        <f>(+G133+I133+K133)</f>
        <v>0</v>
      </c>
      <c r="AH133" s="2">
        <f>(+C133+G133+K133)</f>
        <v>0</v>
      </c>
      <c r="AI133" s="2">
        <f>(+C133+E133+G133+I133+K133+M133)</f>
        <v>0</v>
      </c>
      <c r="AJ133" s="2">
        <f>(+E133+G133+I133+K133)</f>
        <v>0</v>
      </c>
      <c r="AK133" s="2">
        <f>(+E133+K133+M133)</f>
        <v>0</v>
      </c>
      <c r="AL133" s="2">
        <f>(+G133+I133+M133)</f>
        <v>0</v>
      </c>
      <c r="AO133" s="4" t="s">
        <v>22</v>
      </c>
      <c r="AP133" s="2">
        <v>29</v>
      </c>
      <c r="AQ133" s="2">
        <v>40</v>
      </c>
      <c r="AR133" s="2">
        <v>24</v>
      </c>
      <c r="AS133" s="2">
        <v>30</v>
      </c>
      <c r="AT133" s="2">
        <v>61</v>
      </c>
      <c r="AU133" s="2">
        <v>42</v>
      </c>
      <c r="AV133" s="2">
        <v>25</v>
      </c>
      <c r="AW133" s="2">
        <v>27</v>
      </c>
      <c r="BA133" s="2">
        <f t="shared" si="17"/>
        <v>0</v>
      </c>
      <c r="BD133" s="10">
        <v>0</v>
      </c>
      <c r="BE133" s="2" t="b">
        <f t="shared" si="18"/>
        <v>0</v>
      </c>
      <c r="BF133" s="10">
        <v>0</v>
      </c>
      <c r="BG133" s="2" t="b">
        <f t="shared" si="13"/>
        <v>1</v>
      </c>
      <c r="BH133" s="10">
        <v>61</v>
      </c>
      <c r="BI133" s="2" t="b">
        <f t="shared" si="14"/>
        <v>0</v>
      </c>
      <c r="BJ133" s="10">
        <v>61</v>
      </c>
      <c r="BK133" s="2" t="b">
        <f t="shared" si="15"/>
        <v>1</v>
      </c>
    </row>
    <row r="134" spans="1:64" s="6" customFormat="1" x14ac:dyDescent="0.2">
      <c r="A134" s="6" t="s">
        <v>503</v>
      </c>
      <c r="B134" s="7" t="s">
        <v>40</v>
      </c>
      <c r="C134" s="6">
        <v>0</v>
      </c>
      <c r="D134" s="7" t="s">
        <v>10</v>
      </c>
      <c r="E134" s="6">
        <v>15</v>
      </c>
      <c r="F134" s="7" t="s">
        <v>47</v>
      </c>
      <c r="G134" s="6">
        <v>13</v>
      </c>
      <c r="H134" s="7" t="s">
        <v>21</v>
      </c>
      <c r="I134" s="6">
        <v>6</v>
      </c>
      <c r="J134" s="7"/>
      <c r="L134" s="7"/>
      <c r="N134" s="7"/>
      <c r="P134" s="7"/>
      <c r="R134" s="7"/>
      <c r="T134" s="7"/>
      <c r="V134" s="7"/>
      <c r="X134" s="7"/>
      <c r="Z134" s="7"/>
      <c r="AB134" s="6" t="s">
        <v>22</v>
      </c>
      <c r="AC134" s="6" t="b">
        <f t="shared" si="16"/>
        <v>1</v>
      </c>
      <c r="AE134" s="6">
        <f>(+C134+E134+G134)</f>
        <v>28</v>
      </c>
      <c r="AF134" s="6">
        <f>(+I134)</f>
        <v>6</v>
      </c>
      <c r="AG134" s="6">
        <f>(+C134+E134+I134)</f>
        <v>21</v>
      </c>
      <c r="AH134" s="6">
        <f>(+C134+G134)</f>
        <v>13</v>
      </c>
      <c r="AO134" s="6" t="s">
        <v>22</v>
      </c>
      <c r="AP134" s="6">
        <v>28</v>
      </c>
      <c r="AQ134" s="6">
        <v>6</v>
      </c>
      <c r="AR134" s="6">
        <v>21</v>
      </c>
      <c r="AS134" s="6">
        <v>13</v>
      </c>
      <c r="BA134" s="6">
        <f t="shared" si="17"/>
        <v>34</v>
      </c>
      <c r="BB134" s="2"/>
      <c r="BC134" s="2"/>
      <c r="BD134" s="10">
        <v>34</v>
      </c>
      <c r="BE134" s="2" t="b">
        <f t="shared" si="18"/>
        <v>1</v>
      </c>
      <c r="BF134" s="10">
        <v>34</v>
      </c>
      <c r="BG134" s="2" t="b">
        <f t="shared" si="13"/>
        <v>1</v>
      </c>
      <c r="BH134" s="10">
        <v>34</v>
      </c>
      <c r="BI134" s="2" t="b">
        <f t="shared" si="14"/>
        <v>1</v>
      </c>
      <c r="BJ134" s="10">
        <v>34</v>
      </c>
      <c r="BK134" s="2" t="b">
        <f t="shared" si="15"/>
        <v>1</v>
      </c>
      <c r="BL134" s="2"/>
    </row>
    <row r="135" spans="1:64" s="6" customFormat="1" x14ac:dyDescent="0.2">
      <c r="A135" s="6" t="s">
        <v>504</v>
      </c>
      <c r="B135" s="7" t="s">
        <v>10</v>
      </c>
      <c r="C135" s="6">
        <v>7</v>
      </c>
      <c r="D135" s="7" t="s">
        <v>11</v>
      </c>
      <c r="E135" s="6">
        <v>19</v>
      </c>
      <c r="F135" s="7" t="s">
        <v>21</v>
      </c>
      <c r="G135" s="6">
        <v>20</v>
      </c>
      <c r="H135" s="7" t="s">
        <v>47</v>
      </c>
      <c r="I135" s="6">
        <v>18</v>
      </c>
      <c r="J135" s="7" t="s">
        <v>8</v>
      </c>
      <c r="K135" s="6">
        <v>1</v>
      </c>
      <c r="L135" s="7" t="s">
        <v>38</v>
      </c>
      <c r="M135" s="6">
        <v>0</v>
      </c>
      <c r="N135" s="7"/>
      <c r="P135" s="7"/>
      <c r="R135" s="7"/>
      <c r="T135" s="7"/>
      <c r="V135" s="7"/>
      <c r="X135" s="7"/>
      <c r="Z135" s="7"/>
      <c r="AB135" s="6" t="s">
        <v>22</v>
      </c>
      <c r="AC135" s="6" t="b">
        <f t="shared" si="16"/>
        <v>1</v>
      </c>
      <c r="AE135" s="6">
        <f>(+C135+E135+I135)</f>
        <v>44</v>
      </c>
      <c r="AF135" s="6">
        <f>(+E135+G135+M135)</f>
        <v>39</v>
      </c>
      <c r="AG135" s="6">
        <f>(+C135+G135+K135)</f>
        <v>28</v>
      </c>
      <c r="AH135" s="6">
        <f>(+I135)</f>
        <v>18</v>
      </c>
      <c r="AO135" s="6" t="s">
        <v>22</v>
      </c>
      <c r="AP135" s="6">
        <v>44</v>
      </c>
      <c r="AQ135" s="6">
        <v>39</v>
      </c>
      <c r="AR135" s="6">
        <v>28</v>
      </c>
      <c r="AS135" s="6">
        <v>18</v>
      </c>
      <c r="BA135" s="6">
        <f t="shared" si="17"/>
        <v>65</v>
      </c>
      <c r="BB135" s="2"/>
      <c r="BC135" s="2"/>
      <c r="BD135" s="10">
        <v>65</v>
      </c>
      <c r="BE135" s="2" t="b">
        <f t="shared" si="18"/>
        <v>1</v>
      </c>
      <c r="BF135" s="10">
        <v>65</v>
      </c>
      <c r="BG135" s="2" t="b">
        <f t="shared" si="13"/>
        <v>1</v>
      </c>
      <c r="BH135" s="10">
        <v>65</v>
      </c>
      <c r="BI135" s="2" t="b">
        <f t="shared" si="14"/>
        <v>1</v>
      </c>
      <c r="BJ135" s="10">
        <v>65</v>
      </c>
      <c r="BK135" s="2" t="b">
        <f t="shared" si="15"/>
        <v>1</v>
      </c>
      <c r="BL135" s="2"/>
    </row>
    <row r="136" spans="1:64" s="6" customFormat="1" x14ac:dyDescent="0.2">
      <c r="A136" s="6" t="s">
        <v>505</v>
      </c>
      <c r="B136" s="7" t="s">
        <v>39</v>
      </c>
      <c r="C136" s="6">
        <v>9</v>
      </c>
      <c r="D136" s="7" t="s">
        <v>128</v>
      </c>
      <c r="E136" s="6">
        <v>2</v>
      </c>
      <c r="F136" s="7" t="s">
        <v>16</v>
      </c>
      <c r="G136" s="6">
        <v>6</v>
      </c>
      <c r="H136" s="7"/>
      <c r="J136" s="7"/>
      <c r="L136" s="7"/>
      <c r="N136" s="7"/>
      <c r="P136" s="7"/>
      <c r="R136" s="7"/>
      <c r="T136" s="7"/>
      <c r="V136" s="7"/>
      <c r="X136" s="7"/>
      <c r="Z136" s="7"/>
      <c r="AB136" s="6" t="s">
        <v>22</v>
      </c>
      <c r="AC136" s="6" t="b">
        <f t="shared" si="16"/>
        <v>1</v>
      </c>
      <c r="AE136" s="6">
        <f>(+C136+E136)</f>
        <v>11</v>
      </c>
      <c r="AF136" s="6">
        <f>(+C136+E136+G136)</f>
        <v>17</v>
      </c>
      <c r="AG136" s="6">
        <f>(+G136)</f>
        <v>6</v>
      </c>
      <c r="AH136" s="6">
        <f>(+C136+G136)</f>
        <v>15</v>
      </c>
      <c r="AI136" s="6">
        <f>(+E136+G136)</f>
        <v>8</v>
      </c>
      <c r="AO136" s="6" t="s">
        <v>22</v>
      </c>
      <c r="AP136" s="6">
        <v>11</v>
      </c>
      <c r="AQ136" s="6">
        <v>17</v>
      </c>
      <c r="AR136" s="6">
        <v>6</v>
      </c>
      <c r="AS136" s="6">
        <v>15</v>
      </c>
      <c r="AT136" s="6">
        <v>8</v>
      </c>
      <c r="BA136" s="6">
        <f t="shared" si="17"/>
        <v>17</v>
      </c>
      <c r="BB136" s="2"/>
      <c r="BC136" s="2"/>
      <c r="BD136" s="10">
        <v>17</v>
      </c>
      <c r="BE136" s="2" t="b">
        <f t="shared" si="18"/>
        <v>1</v>
      </c>
      <c r="BF136" s="10">
        <v>17</v>
      </c>
      <c r="BG136" s="2" t="b">
        <f t="shared" si="13"/>
        <v>1</v>
      </c>
      <c r="BH136" s="10">
        <v>17</v>
      </c>
      <c r="BI136" s="2" t="b">
        <f t="shared" si="14"/>
        <v>1</v>
      </c>
      <c r="BJ136" s="10">
        <v>17</v>
      </c>
      <c r="BK136" s="2" t="b">
        <f t="shared" si="15"/>
        <v>1</v>
      </c>
      <c r="BL136" s="2"/>
    </row>
    <row r="137" spans="1:64" x14ac:dyDescent="0.2">
      <c r="A137" s="2" t="s">
        <v>506</v>
      </c>
      <c r="B137" s="5" t="s">
        <v>507</v>
      </c>
      <c r="C137" s="2">
        <v>0</v>
      </c>
      <c r="D137" s="5" t="s">
        <v>508</v>
      </c>
      <c r="E137" s="2">
        <v>0</v>
      </c>
      <c r="F137" s="5" t="s">
        <v>509</v>
      </c>
      <c r="G137" s="2">
        <v>0</v>
      </c>
      <c r="H137" s="5" t="s">
        <v>510</v>
      </c>
      <c r="I137" s="2">
        <v>0</v>
      </c>
      <c r="J137" s="5" t="s">
        <v>82</v>
      </c>
      <c r="K137" s="2">
        <v>0</v>
      </c>
      <c r="L137" s="5" t="s">
        <v>61</v>
      </c>
      <c r="M137" s="2">
        <v>0</v>
      </c>
      <c r="N137" s="5" t="s">
        <v>511</v>
      </c>
      <c r="O137" s="2">
        <v>0</v>
      </c>
      <c r="P137" s="5" t="s">
        <v>230</v>
      </c>
      <c r="Q137" s="2">
        <v>0</v>
      </c>
      <c r="R137" s="5" t="s">
        <v>134</v>
      </c>
      <c r="S137" s="2">
        <v>0</v>
      </c>
      <c r="T137" s="5" t="s">
        <v>216</v>
      </c>
      <c r="U137" s="2">
        <v>0</v>
      </c>
      <c r="V137" s="5" t="s">
        <v>512</v>
      </c>
      <c r="W137" s="2">
        <v>0</v>
      </c>
      <c r="AB137" s="4" t="s">
        <v>22</v>
      </c>
      <c r="AC137" s="2" t="b">
        <f t="shared" si="16"/>
        <v>0</v>
      </c>
      <c r="AE137" s="2">
        <f>(+E137+I137+O137+U137+W137)</f>
        <v>0</v>
      </c>
      <c r="AF137" s="2">
        <f>(+E137+G137+I137+M137+O137+W137)</f>
        <v>0</v>
      </c>
      <c r="AG137" s="2">
        <f>(+E137+M137+S137+U137+W137)</f>
        <v>0</v>
      </c>
      <c r="AH137" s="2">
        <f>(+G137+I137+K137+M137+Q137+W137)</f>
        <v>0</v>
      </c>
      <c r="AI137" s="2">
        <f>(+C137+G137+K137+O137+U137)</f>
        <v>0</v>
      </c>
      <c r="AJ137" s="2">
        <f>(+E137+G137+I137+M137+O137+S137+W137)</f>
        <v>0</v>
      </c>
      <c r="AK137" s="2">
        <f>(+E137+G137+I137+M137+O137+Q137+S137+U137)</f>
        <v>0</v>
      </c>
      <c r="AL137" s="2">
        <f>(+E137+I137+K137+M137+O137+W137)</f>
        <v>0</v>
      </c>
      <c r="AM137" s="2">
        <f>(+E137+G137+I137+M137+O137+U137)</f>
        <v>0</v>
      </c>
      <c r="AN137" s="2">
        <f>(+C137+E137+G137+M137+O137+W137)</f>
        <v>0</v>
      </c>
      <c r="AO137" s="4" t="s">
        <v>22</v>
      </c>
      <c r="AP137" s="2">
        <v>41</v>
      </c>
      <c r="AQ137" s="2">
        <v>39</v>
      </c>
      <c r="AR137" s="2">
        <v>38</v>
      </c>
      <c r="AS137" s="2">
        <v>36</v>
      </c>
      <c r="AT137" s="2">
        <v>51</v>
      </c>
      <c r="AU137" s="2">
        <v>46</v>
      </c>
      <c r="AV137" s="2">
        <v>59</v>
      </c>
      <c r="AW137" s="2">
        <v>43</v>
      </c>
      <c r="AX137" s="2">
        <v>42</v>
      </c>
      <c r="AY137" s="2">
        <v>52</v>
      </c>
      <c r="BA137" s="2">
        <f t="shared" si="17"/>
        <v>0</v>
      </c>
      <c r="BD137" s="10">
        <v>0</v>
      </c>
      <c r="BE137" s="2" t="b">
        <f t="shared" si="18"/>
        <v>0</v>
      </c>
      <c r="BF137" s="10">
        <v>0</v>
      </c>
      <c r="BG137" s="2" t="b">
        <f t="shared" si="13"/>
        <v>1</v>
      </c>
      <c r="BH137" s="10">
        <v>0</v>
      </c>
      <c r="BI137" s="2" t="b">
        <f t="shared" si="14"/>
        <v>1</v>
      </c>
      <c r="BJ137" s="10">
        <v>88</v>
      </c>
      <c r="BK137" s="2" t="b">
        <f t="shared" si="15"/>
        <v>0</v>
      </c>
    </row>
    <row r="138" spans="1:64" x14ac:dyDescent="0.2">
      <c r="A138" s="2" t="s">
        <v>513</v>
      </c>
      <c r="B138" s="5" t="s">
        <v>316</v>
      </c>
      <c r="C138" s="2">
        <v>0</v>
      </c>
      <c r="D138" s="5" t="s">
        <v>514</v>
      </c>
      <c r="E138" s="2">
        <v>0</v>
      </c>
      <c r="F138" s="5" t="s">
        <v>109</v>
      </c>
      <c r="G138" s="2">
        <v>0</v>
      </c>
      <c r="H138" s="5" t="s">
        <v>515</v>
      </c>
      <c r="I138" s="2">
        <v>0</v>
      </c>
      <c r="J138" s="5" t="s">
        <v>516</v>
      </c>
      <c r="K138" s="2">
        <v>0</v>
      </c>
      <c r="L138" s="5" t="s">
        <v>517</v>
      </c>
      <c r="M138" s="2">
        <v>0</v>
      </c>
      <c r="N138" s="5" t="s">
        <v>282</v>
      </c>
      <c r="O138" s="2">
        <v>0</v>
      </c>
      <c r="P138" s="5" t="s">
        <v>206</v>
      </c>
      <c r="Q138" s="2">
        <v>0</v>
      </c>
      <c r="R138" s="5" t="s">
        <v>237</v>
      </c>
      <c r="S138" s="2">
        <v>0</v>
      </c>
      <c r="AB138" s="4" t="s">
        <v>22</v>
      </c>
      <c r="AC138" s="2" t="b">
        <f t="shared" si="16"/>
        <v>0</v>
      </c>
      <c r="AE138" s="2">
        <f>(+C138+E138+G138+I138)</f>
        <v>0</v>
      </c>
      <c r="AF138" s="2">
        <f>(+C138+E138+G138+M138+O138+Q138)</f>
        <v>0</v>
      </c>
      <c r="AG138" s="2">
        <f>(+C138+E138+K138+M138)</f>
        <v>0</v>
      </c>
      <c r="AH138" s="2">
        <f>(+K138)</f>
        <v>0</v>
      </c>
      <c r="AI138" s="2">
        <f>(+C138+E138+G138+K138+O138+S138)</f>
        <v>0</v>
      </c>
      <c r="AJ138" s="2">
        <f>(+C138+G138+I138+K138+O138+S138)</f>
        <v>0</v>
      </c>
      <c r="AK138" s="2">
        <f>(+C138+E138+I138+O138+S138)</f>
        <v>0</v>
      </c>
      <c r="AL138" s="2">
        <f>(+C138+I138+K138+Q138)</f>
        <v>0</v>
      </c>
      <c r="AM138" s="2">
        <f>(+C138+E138+I138+M138+Q138)</f>
        <v>0</v>
      </c>
      <c r="AN138" s="2">
        <f>(+C138+I138+K138+M138)</f>
        <v>0</v>
      </c>
      <c r="AO138" s="4" t="s">
        <v>22</v>
      </c>
      <c r="AP138" s="2">
        <v>44</v>
      </c>
      <c r="AQ138" s="2">
        <v>46</v>
      </c>
      <c r="AR138" s="2">
        <v>38</v>
      </c>
      <c r="AS138" s="2">
        <v>20</v>
      </c>
      <c r="AT138" s="2">
        <v>77</v>
      </c>
      <c r="AU138" s="2">
        <v>86</v>
      </c>
      <c r="AV138" s="2">
        <v>61</v>
      </c>
      <c r="AW138" s="2">
        <v>44</v>
      </c>
      <c r="AX138" s="2">
        <v>39</v>
      </c>
      <c r="AY138" s="2">
        <v>47</v>
      </c>
      <c r="BA138" s="2">
        <f t="shared" si="17"/>
        <v>0</v>
      </c>
      <c r="BD138" s="10">
        <v>0</v>
      </c>
      <c r="BE138" s="2" t="b">
        <f t="shared" si="18"/>
        <v>0</v>
      </c>
      <c r="BF138" s="10">
        <v>0</v>
      </c>
      <c r="BG138" s="2" t="b">
        <f t="shared" si="13"/>
        <v>1</v>
      </c>
      <c r="BH138" s="10">
        <v>104</v>
      </c>
      <c r="BI138" s="2" t="b">
        <f t="shared" si="14"/>
        <v>0</v>
      </c>
      <c r="BJ138" s="10">
        <v>104</v>
      </c>
      <c r="BK138" s="2" t="b">
        <f t="shared" si="15"/>
        <v>1</v>
      </c>
    </row>
    <row r="139" spans="1:64" x14ac:dyDescent="0.2">
      <c r="A139" s="2" t="s">
        <v>518</v>
      </c>
      <c r="B139" s="5" t="s">
        <v>39</v>
      </c>
      <c r="C139" s="2">
        <v>0</v>
      </c>
      <c r="D139" s="5" t="s">
        <v>7</v>
      </c>
      <c r="E139" s="2">
        <v>0</v>
      </c>
      <c r="F139" s="5" t="s">
        <v>6</v>
      </c>
      <c r="G139" s="2">
        <v>0</v>
      </c>
      <c r="H139" s="5" t="s">
        <v>11</v>
      </c>
      <c r="I139" s="2">
        <v>0</v>
      </c>
      <c r="J139" s="5" t="s">
        <v>10</v>
      </c>
      <c r="K139" s="2">
        <v>0</v>
      </c>
      <c r="L139" s="5" t="s">
        <v>40</v>
      </c>
      <c r="M139" s="2">
        <v>0</v>
      </c>
      <c r="AB139" s="4" t="s">
        <v>22</v>
      </c>
      <c r="AC139" s="2" t="b">
        <f t="shared" si="16"/>
        <v>0</v>
      </c>
      <c r="AE139" s="2">
        <f>(+C139+I139+K139+M139)</f>
        <v>0</v>
      </c>
      <c r="AF139" s="2">
        <f>(+C139+E139+I139)</f>
        <v>0</v>
      </c>
      <c r="AG139" s="2">
        <f>(+K139+M139)</f>
        <v>0</v>
      </c>
      <c r="AH139" s="2">
        <f>(+C139+E139+G139+M139)</f>
        <v>0</v>
      </c>
      <c r="AO139" s="4" t="s">
        <v>22</v>
      </c>
      <c r="AP139" s="2">
        <v>22</v>
      </c>
      <c r="AQ139" s="2">
        <v>16</v>
      </c>
      <c r="AR139" s="2">
        <v>19</v>
      </c>
      <c r="AS139" s="2">
        <v>32</v>
      </c>
      <c r="BA139" s="2">
        <f t="shared" si="17"/>
        <v>0</v>
      </c>
      <c r="BD139" s="10">
        <v>35</v>
      </c>
      <c r="BE139" s="2" t="b">
        <f t="shared" si="18"/>
        <v>0</v>
      </c>
      <c r="BF139" s="10">
        <v>35</v>
      </c>
      <c r="BG139" s="2" t="b">
        <f t="shared" si="13"/>
        <v>1</v>
      </c>
      <c r="BH139" s="10">
        <v>35</v>
      </c>
      <c r="BI139" s="2" t="b">
        <f t="shared" si="14"/>
        <v>1</v>
      </c>
      <c r="BJ139" s="10">
        <v>35</v>
      </c>
      <c r="BK139" s="2" t="b">
        <f t="shared" si="15"/>
        <v>1</v>
      </c>
    </row>
    <row r="140" spans="1:64" x14ac:dyDescent="0.2">
      <c r="A140" s="2" t="s">
        <v>519</v>
      </c>
      <c r="B140" s="5" t="s">
        <v>520</v>
      </c>
      <c r="C140" s="2">
        <v>0</v>
      </c>
      <c r="D140" s="5" t="s">
        <v>197</v>
      </c>
      <c r="E140" s="2">
        <v>0</v>
      </c>
      <c r="F140" s="5" t="s">
        <v>123</v>
      </c>
      <c r="G140" s="2">
        <v>0</v>
      </c>
      <c r="H140" s="5" t="s">
        <v>7</v>
      </c>
      <c r="I140" s="2">
        <v>0</v>
      </c>
      <c r="J140" s="5" t="s">
        <v>248</v>
      </c>
      <c r="K140" s="2">
        <v>0</v>
      </c>
      <c r="L140" s="5" t="s">
        <v>325</v>
      </c>
      <c r="M140" s="2">
        <v>0</v>
      </c>
      <c r="N140" s="5" t="s">
        <v>413</v>
      </c>
      <c r="O140" s="2">
        <v>0</v>
      </c>
      <c r="P140" s="5" t="s">
        <v>358</v>
      </c>
      <c r="Q140" s="2">
        <v>0</v>
      </c>
      <c r="AB140" s="4" t="s">
        <v>22</v>
      </c>
      <c r="AC140" s="2" t="b">
        <f t="shared" si="16"/>
        <v>0</v>
      </c>
      <c r="AE140" s="2">
        <f>(+C140+E140+K140+M140)</f>
        <v>0</v>
      </c>
      <c r="AF140" s="2">
        <f>(+G140+I140+K140+M140+O140+Q140)</f>
        <v>0</v>
      </c>
      <c r="AG140" s="2">
        <f>(+C140+E140+K140+O140)</f>
        <v>0</v>
      </c>
      <c r="AH140" s="2">
        <f>(+C140+E140+I140+K140+M140+O140)</f>
        <v>0</v>
      </c>
      <c r="AI140" s="2">
        <f>(+C140+G140+K140+M140+O140)</f>
        <v>0</v>
      </c>
      <c r="AJ140" s="2">
        <f>(+M140+O140+Q140)</f>
        <v>0</v>
      </c>
      <c r="AK140" s="2">
        <f>(+C140+K140+M140+O140+Q140)</f>
        <v>0</v>
      </c>
      <c r="AL140" s="2">
        <f>(+C140+E140+G140+K140+Q140)</f>
        <v>0</v>
      </c>
      <c r="AM140" s="2">
        <f>(+C140+K140+M140+O140)</f>
        <v>0</v>
      </c>
      <c r="AO140" s="4" t="s">
        <v>22</v>
      </c>
      <c r="AP140" s="2">
        <v>43</v>
      </c>
      <c r="AQ140" s="2">
        <v>73</v>
      </c>
      <c r="AR140" s="2">
        <v>44</v>
      </c>
      <c r="AS140" s="2">
        <v>66</v>
      </c>
      <c r="AT140" s="2">
        <v>59</v>
      </c>
      <c r="AU140" s="2">
        <v>45</v>
      </c>
      <c r="AV140" s="2">
        <v>74</v>
      </c>
      <c r="AW140" s="2">
        <v>56</v>
      </c>
      <c r="AX140" s="2">
        <v>54</v>
      </c>
      <c r="BA140" s="2">
        <f t="shared" si="17"/>
        <v>0</v>
      </c>
      <c r="BD140" s="10">
        <v>0</v>
      </c>
      <c r="BE140" s="2" t="b">
        <f t="shared" si="18"/>
        <v>0</v>
      </c>
      <c r="BF140" s="10">
        <v>0</v>
      </c>
      <c r="BG140" s="2" t="b">
        <f t="shared" si="13"/>
        <v>1</v>
      </c>
      <c r="BH140" s="10">
        <v>91</v>
      </c>
      <c r="BI140" s="2" t="b">
        <f t="shared" si="14"/>
        <v>0</v>
      </c>
      <c r="BJ140" s="10">
        <v>91</v>
      </c>
      <c r="BK140" s="2" t="b">
        <f t="shared" si="15"/>
        <v>1</v>
      </c>
    </row>
    <row r="141" spans="1:64" x14ac:dyDescent="0.2">
      <c r="A141" s="2" t="s">
        <v>521</v>
      </c>
      <c r="B141" s="5" t="s">
        <v>152</v>
      </c>
      <c r="C141" s="2">
        <v>0</v>
      </c>
      <c r="D141" s="5" t="s">
        <v>8</v>
      </c>
      <c r="E141" s="2">
        <v>0</v>
      </c>
      <c r="F141" s="5" t="s">
        <v>38</v>
      </c>
      <c r="G141" s="2">
        <v>0</v>
      </c>
      <c r="H141" s="5" t="s">
        <v>253</v>
      </c>
      <c r="I141" s="2">
        <v>0</v>
      </c>
      <c r="J141" s="5" t="s">
        <v>39</v>
      </c>
      <c r="K141" s="2">
        <v>0</v>
      </c>
      <c r="L141" s="5" t="s">
        <v>47</v>
      </c>
      <c r="M141" s="2">
        <v>0</v>
      </c>
      <c r="AB141" s="4" t="s">
        <v>22</v>
      </c>
      <c r="AC141" s="2" t="b">
        <f t="shared" si="16"/>
        <v>0</v>
      </c>
      <c r="AE141" s="2">
        <f>(+C141+I141+K141+M141)</f>
        <v>0</v>
      </c>
      <c r="AF141" s="2">
        <f>(+C141+G141+K141)</f>
        <v>0</v>
      </c>
      <c r="AG141" s="2">
        <f>(+C141+E141)</f>
        <v>0</v>
      </c>
      <c r="AH141" s="2">
        <f>(+K141+M141)</f>
        <v>0</v>
      </c>
      <c r="AI141" s="2">
        <f>(+C141)</f>
        <v>0</v>
      </c>
      <c r="AO141" s="4" t="s">
        <v>22</v>
      </c>
      <c r="AP141" s="2">
        <v>31</v>
      </c>
      <c r="AQ141" s="2">
        <v>26</v>
      </c>
      <c r="AR141" s="2">
        <v>9</v>
      </c>
      <c r="AS141" s="2">
        <v>20</v>
      </c>
      <c r="AT141" s="2">
        <v>2</v>
      </c>
      <c r="BA141" s="2">
        <f t="shared" si="17"/>
        <v>0</v>
      </c>
      <c r="BD141" s="10">
        <v>42</v>
      </c>
      <c r="BE141" s="2" t="b">
        <f t="shared" si="18"/>
        <v>0</v>
      </c>
      <c r="BF141" s="10">
        <v>42</v>
      </c>
      <c r="BG141" s="2" t="b">
        <f t="shared" si="13"/>
        <v>1</v>
      </c>
      <c r="BH141" s="10">
        <v>42</v>
      </c>
      <c r="BI141" s="2" t="b">
        <f t="shared" si="14"/>
        <v>1</v>
      </c>
      <c r="BJ141" s="10">
        <v>42</v>
      </c>
      <c r="BK141" s="2" t="b">
        <f t="shared" si="15"/>
        <v>1</v>
      </c>
    </row>
    <row r="142" spans="1:64" x14ac:dyDescent="0.2">
      <c r="A142" s="2" t="s">
        <v>522</v>
      </c>
      <c r="B142" s="5" t="s">
        <v>194</v>
      </c>
      <c r="C142" s="2">
        <v>0</v>
      </c>
      <c r="D142" s="5" t="s">
        <v>25</v>
      </c>
      <c r="E142" s="2">
        <v>0</v>
      </c>
      <c r="F142" s="5" t="s">
        <v>456</v>
      </c>
      <c r="G142" s="2">
        <v>0</v>
      </c>
      <c r="H142" s="5" t="s">
        <v>6</v>
      </c>
      <c r="I142" s="2">
        <v>0</v>
      </c>
      <c r="J142" s="5" t="s">
        <v>523</v>
      </c>
      <c r="K142" s="2">
        <v>0</v>
      </c>
      <c r="L142" s="5" t="s">
        <v>24</v>
      </c>
      <c r="M142" s="2">
        <v>0</v>
      </c>
      <c r="N142" s="5" t="s">
        <v>524</v>
      </c>
      <c r="O142" s="2">
        <v>0</v>
      </c>
      <c r="P142" s="5" t="s">
        <v>272</v>
      </c>
      <c r="Q142" s="2">
        <v>0</v>
      </c>
      <c r="AB142" s="4" t="s">
        <v>22</v>
      </c>
      <c r="AC142" s="2" t="b">
        <f t="shared" si="16"/>
        <v>0</v>
      </c>
      <c r="AE142" s="2">
        <f>(+C142+G142+K142+Q142)</f>
        <v>0</v>
      </c>
      <c r="AF142" s="2">
        <f>(+C142+G142+O142)</f>
        <v>0</v>
      </c>
      <c r="AG142" s="2">
        <f>(+C142+G142+M142+O142)</f>
        <v>0</v>
      </c>
      <c r="AH142" s="2">
        <f>(+E142+G142+I142+K142)</f>
        <v>0</v>
      </c>
      <c r="AI142" s="2">
        <f>(+E142+M142+O142)</f>
        <v>0</v>
      </c>
      <c r="AJ142" s="2">
        <f>(+G142+K142+O142)</f>
        <v>0</v>
      </c>
      <c r="AK142" s="2">
        <f>(+C142+G142)</f>
        <v>0</v>
      </c>
      <c r="AL142" s="2">
        <f>(+C142+K142+O142)</f>
        <v>0</v>
      </c>
      <c r="AM142" s="2">
        <f>(+G142+O142+Q142)</f>
        <v>0</v>
      </c>
      <c r="AN142" s="2">
        <f>(+G142+K142+O142)</f>
        <v>0</v>
      </c>
      <c r="AO142" s="4" t="s">
        <v>22</v>
      </c>
      <c r="AP142" s="2">
        <v>41</v>
      </c>
      <c r="AQ142" s="2">
        <v>45</v>
      </c>
      <c r="AR142" s="2">
        <v>51</v>
      </c>
      <c r="AS142" s="2">
        <v>174</v>
      </c>
      <c r="AT142" s="2">
        <v>154</v>
      </c>
      <c r="AU142" s="2">
        <v>46</v>
      </c>
      <c r="AV142" s="2">
        <v>27</v>
      </c>
      <c r="AW142" s="2">
        <v>37</v>
      </c>
      <c r="AX142" s="2">
        <v>40</v>
      </c>
      <c r="AY142" s="2">
        <v>46</v>
      </c>
      <c r="BA142" s="2">
        <f t="shared" si="17"/>
        <v>0</v>
      </c>
      <c r="BD142" s="10">
        <v>211</v>
      </c>
      <c r="BE142" s="2" t="b">
        <f t="shared" si="18"/>
        <v>0</v>
      </c>
      <c r="BF142" s="10">
        <v>211</v>
      </c>
      <c r="BG142" s="2" t="b">
        <f t="shared" si="13"/>
        <v>1</v>
      </c>
      <c r="BH142" s="10">
        <v>211</v>
      </c>
      <c r="BI142" s="2" t="b">
        <f t="shared" si="14"/>
        <v>1</v>
      </c>
      <c r="BJ142" s="10">
        <v>211</v>
      </c>
      <c r="BK142" s="2" t="b">
        <f t="shared" si="15"/>
        <v>1</v>
      </c>
    </row>
    <row r="143" spans="1:64" x14ac:dyDescent="0.2">
      <c r="A143" s="2" t="s">
        <v>525</v>
      </c>
      <c r="B143" s="5" t="s">
        <v>245</v>
      </c>
      <c r="C143" s="2">
        <v>0</v>
      </c>
      <c r="D143" s="5" t="s">
        <v>50</v>
      </c>
      <c r="E143" s="2">
        <v>0</v>
      </c>
      <c r="F143" s="5" t="s">
        <v>56</v>
      </c>
      <c r="G143" s="2">
        <v>0</v>
      </c>
      <c r="H143" s="5" t="s">
        <v>116</v>
      </c>
      <c r="I143" s="2">
        <v>0</v>
      </c>
      <c r="J143" s="5" t="s">
        <v>380</v>
      </c>
      <c r="K143" s="2">
        <v>0</v>
      </c>
      <c r="L143" s="5" t="s">
        <v>366</v>
      </c>
      <c r="M143" s="2">
        <v>0</v>
      </c>
      <c r="N143" s="5" t="s">
        <v>526</v>
      </c>
      <c r="O143" s="2">
        <v>0</v>
      </c>
      <c r="P143" s="5" t="s">
        <v>147</v>
      </c>
      <c r="Q143" s="2">
        <v>0</v>
      </c>
      <c r="AB143" s="4" t="s">
        <v>22</v>
      </c>
      <c r="AC143" s="2" t="b">
        <f t="shared" si="16"/>
        <v>0</v>
      </c>
      <c r="AE143" s="2">
        <f>(+C143+M143+O143)</f>
        <v>0</v>
      </c>
      <c r="AF143" s="2">
        <f>(+E143+I143+K143+O143)</f>
        <v>0</v>
      </c>
      <c r="AG143" s="2">
        <f>(+C143+E143+G143+I143+K143+Q143)</f>
        <v>0</v>
      </c>
      <c r="AH143" s="2">
        <f>(+E143+I143+K143+M143+Q143)</f>
        <v>0</v>
      </c>
      <c r="AI143" s="2">
        <f>(+I143+K143+M143+Q143)</f>
        <v>0</v>
      </c>
      <c r="AJ143" s="2">
        <f>(+C143+G143+I143+K143+M143+Q143)</f>
        <v>0</v>
      </c>
      <c r="AK143" s="2">
        <f>(+K143+O143+Q143)</f>
        <v>0</v>
      </c>
      <c r="AO143" s="4" t="s">
        <v>22</v>
      </c>
      <c r="AP143" s="2">
        <v>41</v>
      </c>
      <c r="AQ143" s="2">
        <v>62</v>
      </c>
      <c r="AR143" s="2">
        <v>86</v>
      </c>
      <c r="AS143" s="2">
        <v>64</v>
      </c>
      <c r="AT143" s="2">
        <v>47</v>
      </c>
      <c r="AU143" s="2">
        <v>76</v>
      </c>
      <c r="AV143" s="2">
        <v>39</v>
      </c>
      <c r="BA143" s="2">
        <f t="shared" si="17"/>
        <v>0</v>
      </c>
      <c r="BD143" s="10">
        <v>0</v>
      </c>
      <c r="BE143" s="2" t="b">
        <f t="shared" si="18"/>
        <v>0</v>
      </c>
      <c r="BF143" s="10">
        <v>0</v>
      </c>
      <c r="BG143" s="2" t="b">
        <f t="shared" si="13"/>
        <v>1</v>
      </c>
      <c r="BH143" s="10">
        <v>0</v>
      </c>
      <c r="BI143" s="2" t="b">
        <f t="shared" si="14"/>
        <v>1</v>
      </c>
      <c r="BJ143" s="10">
        <v>98</v>
      </c>
      <c r="BK143" s="2" t="b">
        <f t="shared" si="15"/>
        <v>0</v>
      </c>
    </row>
    <row r="144" spans="1:64" x14ac:dyDescent="0.2">
      <c r="A144" s="2" t="s">
        <v>527</v>
      </c>
      <c r="B144" s="5" t="s">
        <v>130</v>
      </c>
      <c r="C144" s="2">
        <v>0</v>
      </c>
      <c r="D144" s="5" t="s">
        <v>207</v>
      </c>
      <c r="E144" s="2">
        <v>0</v>
      </c>
      <c r="F144" s="5" t="s">
        <v>237</v>
      </c>
      <c r="G144" s="2">
        <v>0</v>
      </c>
      <c r="H144" s="5" t="s">
        <v>528</v>
      </c>
      <c r="I144" s="2">
        <v>0</v>
      </c>
      <c r="J144" s="5" t="s">
        <v>204</v>
      </c>
      <c r="K144" s="2">
        <v>0</v>
      </c>
      <c r="L144" s="5" t="s">
        <v>302</v>
      </c>
      <c r="M144" s="2">
        <v>0</v>
      </c>
      <c r="N144" s="5" t="s">
        <v>169</v>
      </c>
      <c r="O144" s="2">
        <v>0</v>
      </c>
      <c r="P144" s="5" t="s">
        <v>18</v>
      </c>
      <c r="Q144" s="2">
        <v>0</v>
      </c>
      <c r="R144" s="5" t="s">
        <v>57</v>
      </c>
      <c r="S144" s="2">
        <v>0</v>
      </c>
      <c r="AB144" s="4" t="s">
        <v>22</v>
      </c>
      <c r="AC144" s="2" t="b">
        <f t="shared" si="16"/>
        <v>0</v>
      </c>
      <c r="AE144" s="2">
        <f>(+I144+K144+Q144)</f>
        <v>0</v>
      </c>
      <c r="AF144" s="2">
        <f>(+C144+E144+K144+Q144+S144)</f>
        <v>0</v>
      </c>
      <c r="AG144" s="2">
        <f>(+C144+I144+O144+Q144+S144)</f>
        <v>0</v>
      </c>
      <c r="AH144" s="2">
        <f>(+C144+I144+K144+O144+Q144)</f>
        <v>0</v>
      </c>
      <c r="AI144" s="2">
        <f>(+G144+K144+O144+Q144)</f>
        <v>0</v>
      </c>
      <c r="AJ144" s="2">
        <f>(+C144+G144+I144+M144)</f>
        <v>0</v>
      </c>
      <c r="AK144" s="2">
        <f>(+E144+G144+I144+M144+S144)</f>
        <v>0</v>
      </c>
      <c r="AO144" s="4" t="s">
        <v>22</v>
      </c>
      <c r="AP144" s="2">
        <v>17</v>
      </c>
      <c r="AQ144" s="2">
        <v>32</v>
      </c>
      <c r="AR144" s="2">
        <v>166</v>
      </c>
      <c r="AS144" s="2">
        <v>161</v>
      </c>
      <c r="AT144" s="2">
        <v>166</v>
      </c>
      <c r="AU144" s="2">
        <v>37</v>
      </c>
      <c r="AV144" s="2">
        <v>57</v>
      </c>
      <c r="BA144" s="2">
        <f t="shared" si="17"/>
        <v>0</v>
      </c>
      <c r="BD144" s="10">
        <v>0</v>
      </c>
      <c r="BE144" s="2" t="b">
        <f t="shared" si="18"/>
        <v>0</v>
      </c>
      <c r="BF144" s="10">
        <v>0</v>
      </c>
      <c r="BG144" s="2" t="b">
        <f t="shared" si="13"/>
        <v>1</v>
      </c>
      <c r="BH144" s="10">
        <v>207</v>
      </c>
      <c r="BI144" s="2" t="b">
        <f t="shared" si="14"/>
        <v>0</v>
      </c>
      <c r="BJ144" s="10">
        <v>207</v>
      </c>
      <c r="BK144" s="2" t="b">
        <f t="shared" si="15"/>
        <v>1</v>
      </c>
    </row>
    <row r="145" spans="1:64" x14ac:dyDescent="0.2">
      <c r="A145" s="2" t="s">
        <v>529</v>
      </c>
      <c r="B145" s="5" t="s">
        <v>530</v>
      </c>
      <c r="C145" s="2">
        <v>0</v>
      </c>
      <c r="D145" s="5" t="s">
        <v>183</v>
      </c>
      <c r="E145" s="2">
        <v>0</v>
      </c>
      <c r="F145" s="5" t="s">
        <v>44</v>
      </c>
      <c r="G145" s="2">
        <v>0</v>
      </c>
      <c r="H145" s="5" t="s">
        <v>226</v>
      </c>
      <c r="I145" s="2">
        <v>0</v>
      </c>
      <c r="J145" s="5" t="s">
        <v>25</v>
      </c>
      <c r="K145" s="2">
        <v>0</v>
      </c>
      <c r="L145" s="5" t="s">
        <v>115</v>
      </c>
      <c r="M145" s="2">
        <v>0</v>
      </c>
      <c r="N145" s="5" t="s">
        <v>246</v>
      </c>
      <c r="O145" s="2">
        <v>0</v>
      </c>
      <c r="P145" s="5" t="s">
        <v>32</v>
      </c>
      <c r="Q145" s="2">
        <v>0</v>
      </c>
      <c r="AB145" s="4" t="s">
        <v>22</v>
      </c>
      <c r="AC145" s="2" t="b">
        <f t="shared" si="16"/>
        <v>0</v>
      </c>
      <c r="AE145" s="2">
        <f>(+E145+O145+Q145)</f>
        <v>0</v>
      </c>
      <c r="AF145" s="2">
        <f>(+E145+I145+M145)</f>
        <v>0</v>
      </c>
      <c r="AG145" s="2">
        <f>(+O145)</f>
        <v>0</v>
      </c>
      <c r="AH145" s="2">
        <f>(+K145)</f>
        <v>0</v>
      </c>
      <c r="AI145" s="2">
        <f>(+C145+G145+K145+O145)</f>
        <v>0</v>
      </c>
      <c r="AJ145" s="2">
        <f>(+E145+G145+I145+M145)</f>
        <v>0</v>
      </c>
      <c r="AK145" s="2">
        <f>(+C145+E145+I145+O145+Q145)</f>
        <v>0</v>
      </c>
      <c r="AL145" s="2">
        <f>(+C145)</f>
        <v>0</v>
      </c>
      <c r="AO145" s="4" t="s">
        <v>22</v>
      </c>
      <c r="AP145" s="2">
        <v>24</v>
      </c>
      <c r="AQ145" s="2">
        <v>28</v>
      </c>
      <c r="AR145" s="2">
        <v>2</v>
      </c>
      <c r="AS145" s="2">
        <v>15</v>
      </c>
      <c r="AT145" s="2">
        <v>45</v>
      </c>
      <c r="AU145" s="2">
        <v>44</v>
      </c>
      <c r="AV145" s="2">
        <v>53</v>
      </c>
      <c r="AW145" s="2">
        <v>12</v>
      </c>
      <c r="BA145" s="2">
        <f t="shared" si="17"/>
        <v>0</v>
      </c>
      <c r="BD145" s="10">
        <v>84</v>
      </c>
      <c r="BE145" s="2" t="b">
        <f t="shared" si="18"/>
        <v>0</v>
      </c>
      <c r="BF145" s="10">
        <v>84</v>
      </c>
      <c r="BG145" s="2" t="b">
        <f t="shared" si="13"/>
        <v>1</v>
      </c>
      <c r="BH145" s="10">
        <v>84</v>
      </c>
      <c r="BI145" s="2" t="b">
        <f t="shared" si="14"/>
        <v>1</v>
      </c>
      <c r="BJ145" s="10">
        <v>84</v>
      </c>
      <c r="BK145" s="2" t="b">
        <f t="shared" si="15"/>
        <v>1</v>
      </c>
    </row>
    <row r="146" spans="1:64" x14ac:dyDescent="0.2">
      <c r="A146" s="2" t="s">
        <v>531</v>
      </c>
      <c r="B146" s="5" t="s">
        <v>40</v>
      </c>
      <c r="C146" s="2">
        <v>0</v>
      </c>
      <c r="D146" s="5" t="s">
        <v>11</v>
      </c>
      <c r="E146" s="2">
        <v>0</v>
      </c>
      <c r="F146" s="5" t="s">
        <v>25</v>
      </c>
      <c r="G146" s="2">
        <v>0</v>
      </c>
      <c r="H146" s="5" t="s">
        <v>6</v>
      </c>
      <c r="I146" s="2">
        <v>0</v>
      </c>
      <c r="J146" s="5" t="s">
        <v>106</v>
      </c>
      <c r="K146" s="2">
        <v>0</v>
      </c>
      <c r="L146" s="5" t="s">
        <v>204</v>
      </c>
      <c r="M146" s="2">
        <v>0</v>
      </c>
      <c r="AB146" s="4" t="s">
        <v>22</v>
      </c>
      <c r="AC146" s="2" t="b">
        <f t="shared" si="16"/>
        <v>0</v>
      </c>
      <c r="AE146" s="2">
        <f>(+C146+E146+K146+M146)</f>
        <v>0</v>
      </c>
      <c r="AF146" s="2">
        <f>(+E146+M146)</f>
        <v>0</v>
      </c>
      <c r="AG146" s="2">
        <f>(+C146+K146)</f>
        <v>0</v>
      </c>
      <c r="AH146" s="2">
        <f>(+C146+G146+I146+M146)</f>
        <v>0</v>
      </c>
      <c r="AI146" s="2">
        <f>(+G146+K146+M146)</f>
        <v>0</v>
      </c>
      <c r="AO146" s="4" t="s">
        <v>22</v>
      </c>
      <c r="AP146" s="2">
        <v>159</v>
      </c>
      <c r="AQ146" s="2">
        <v>149</v>
      </c>
      <c r="AR146" s="2">
        <v>10</v>
      </c>
      <c r="AS146" s="2">
        <v>26</v>
      </c>
      <c r="AT146" s="2">
        <v>26</v>
      </c>
      <c r="BA146" s="2">
        <f t="shared" si="17"/>
        <v>0</v>
      </c>
      <c r="BD146" s="10">
        <v>159</v>
      </c>
      <c r="BE146" s="2" t="b">
        <f t="shared" si="18"/>
        <v>0</v>
      </c>
      <c r="BF146" s="10">
        <v>159</v>
      </c>
      <c r="BG146" s="2" t="b">
        <f t="shared" si="13"/>
        <v>1</v>
      </c>
      <c r="BH146" s="10">
        <v>159</v>
      </c>
      <c r="BI146" s="2" t="b">
        <f t="shared" si="14"/>
        <v>1</v>
      </c>
      <c r="BJ146" s="10">
        <v>159</v>
      </c>
      <c r="BK146" s="2" t="b">
        <f t="shared" si="15"/>
        <v>1</v>
      </c>
    </row>
    <row r="147" spans="1:64" x14ac:dyDescent="0.2">
      <c r="A147" s="2" t="s">
        <v>532</v>
      </c>
      <c r="B147" s="5" t="s">
        <v>533</v>
      </c>
      <c r="C147" s="2">
        <v>0</v>
      </c>
      <c r="D147" s="5" t="s">
        <v>534</v>
      </c>
      <c r="E147" s="2">
        <v>0</v>
      </c>
      <c r="F147" s="5" t="s">
        <v>535</v>
      </c>
      <c r="G147" s="2">
        <v>0</v>
      </c>
      <c r="H147" s="5" t="s">
        <v>56</v>
      </c>
      <c r="I147" s="2">
        <v>0</v>
      </c>
      <c r="J147" s="5" t="s">
        <v>536</v>
      </c>
      <c r="K147" s="2">
        <v>0</v>
      </c>
      <c r="L147" s="5" t="s">
        <v>161</v>
      </c>
      <c r="M147" s="2">
        <v>0</v>
      </c>
      <c r="N147" s="5" t="s">
        <v>537</v>
      </c>
      <c r="O147" s="2">
        <v>0</v>
      </c>
      <c r="P147" s="5" t="s">
        <v>166</v>
      </c>
      <c r="Q147" s="2">
        <v>0</v>
      </c>
      <c r="R147" s="5" t="s">
        <v>121</v>
      </c>
      <c r="S147" s="2">
        <v>0</v>
      </c>
      <c r="T147" s="5" t="s">
        <v>538</v>
      </c>
      <c r="U147" s="2">
        <v>0</v>
      </c>
      <c r="AB147" s="4" t="s">
        <v>22</v>
      </c>
      <c r="AC147" s="2" t="b">
        <f t="shared" si="16"/>
        <v>0</v>
      </c>
      <c r="AE147" s="2">
        <f>(+G147+K147+M147+O147+S147+U147)</f>
        <v>0</v>
      </c>
      <c r="AF147" s="2">
        <f>(+C147+E147+K147+M147+Q147+U147)</f>
        <v>0</v>
      </c>
      <c r="AG147" s="2">
        <f>(+C147+E147+I147+K147+O147+Q147+S147)</f>
        <v>0</v>
      </c>
      <c r="AH147" s="2">
        <f>(+E147+G147+K147+M147+O147+Q147+S147)</f>
        <v>0</v>
      </c>
      <c r="AI147" s="2">
        <f>(+C147+E147+G147+K147+M147+O147+U147)</f>
        <v>0</v>
      </c>
      <c r="AJ147" s="2">
        <f>(+I147+O147)</f>
        <v>0</v>
      </c>
      <c r="AK147" s="2">
        <f>(+C147+G147+M147+Q147+S147+U147)</f>
        <v>0</v>
      </c>
      <c r="AL147" s="2">
        <f>(+C147+E147+G147+M147+S147)</f>
        <v>0</v>
      </c>
      <c r="AM147" s="2">
        <f>(+G147+K147+M147)</f>
        <v>0</v>
      </c>
      <c r="AN147" s="2">
        <f>(+E147+G147+M147+O147+U147)</f>
        <v>0</v>
      </c>
      <c r="AO147" s="4" t="s">
        <v>22</v>
      </c>
      <c r="AP147" s="2">
        <v>35</v>
      </c>
      <c r="AQ147" s="2">
        <v>30</v>
      </c>
      <c r="AR147" s="2">
        <v>44</v>
      </c>
      <c r="AS147" s="2">
        <v>31</v>
      </c>
      <c r="AT147" s="2">
        <v>42</v>
      </c>
      <c r="AU147" s="2">
        <v>20</v>
      </c>
      <c r="AV147" s="2">
        <v>34</v>
      </c>
      <c r="AW147" s="2">
        <v>26</v>
      </c>
      <c r="AX147" s="2">
        <v>10</v>
      </c>
      <c r="AY147" s="2">
        <v>28</v>
      </c>
      <c r="BA147" s="2">
        <f t="shared" si="17"/>
        <v>0</v>
      </c>
      <c r="BD147" s="10">
        <v>0</v>
      </c>
      <c r="BE147" s="2" t="b">
        <f t="shared" si="18"/>
        <v>0</v>
      </c>
      <c r="BF147" s="10">
        <v>0</v>
      </c>
      <c r="BG147" s="2" t="b">
        <f t="shared" si="13"/>
        <v>1</v>
      </c>
      <c r="BH147" s="10">
        <v>59</v>
      </c>
      <c r="BI147" s="2" t="b">
        <f t="shared" si="14"/>
        <v>0</v>
      </c>
      <c r="BJ147" s="10">
        <v>59</v>
      </c>
      <c r="BK147" s="2" t="b">
        <f t="shared" si="15"/>
        <v>1</v>
      </c>
    </row>
    <row r="148" spans="1:64" x14ac:dyDescent="0.2">
      <c r="A148" s="2" t="s">
        <v>539</v>
      </c>
      <c r="B148" s="5" t="s">
        <v>540</v>
      </c>
      <c r="C148" s="2">
        <v>0</v>
      </c>
      <c r="D148" s="5" t="s">
        <v>541</v>
      </c>
      <c r="E148" s="2">
        <v>0</v>
      </c>
      <c r="F148" s="5" t="s">
        <v>68</v>
      </c>
      <c r="G148" s="2">
        <v>0</v>
      </c>
      <c r="H148" s="5" t="s">
        <v>44</v>
      </c>
      <c r="I148" s="2">
        <v>0</v>
      </c>
      <c r="J148" s="5" t="s">
        <v>542</v>
      </c>
      <c r="K148" s="2">
        <v>0</v>
      </c>
      <c r="L148" s="5" t="s">
        <v>374</v>
      </c>
      <c r="M148" s="2">
        <v>0</v>
      </c>
      <c r="N148" s="5" t="s">
        <v>137</v>
      </c>
      <c r="O148" s="2">
        <v>0</v>
      </c>
      <c r="AB148" s="4" t="s">
        <v>22</v>
      </c>
      <c r="AC148" s="2" t="b">
        <f t="shared" si="16"/>
        <v>0</v>
      </c>
      <c r="AE148" s="2">
        <f>(+G148+M148+O148)</f>
        <v>0</v>
      </c>
      <c r="AF148" s="2">
        <f>(+C148+K148+M148+O148)</f>
        <v>0</v>
      </c>
      <c r="AG148" s="2">
        <f>(+M148+O148)</f>
        <v>0</v>
      </c>
      <c r="AH148" s="2">
        <f>(+G148+K148+M148+O148)</f>
        <v>0</v>
      </c>
      <c r="AI148" s="2">
        <f>(+I148+K148+O148)</f>
        <v>0</v>
      </c>
      <c r="AJ148" s="2">
        <f>(+I148+K148+M148+O148)</f>
        <v>0</v>
      </c>
      <c r="AK148" s="2">
        <f>(+E148+K148+O148)</f>
        <v>0</v>
      </c>
      <c r="AL148" s="2">
        <f>(+G148+K148)</f>
        <v>0</v>
      </c>
      <c r="AM148" s="2">
        <f>(+C148+E148+K148+M148)</f>
        <v>0</v>
      </c>
      <c r="AO148" s="4" t="s">
        <v>22</v>
      </c>
      <c r="AP148" s="2">
        <v>29</v>
      </c>
      <c r="AQ148" s="2">
        <v>48</v>
      </c>
      <c r="AR148" s="2">
        <v>25</v>
      </c>
      <c r="AS148" s="2">
        <v>33</v>
      </c>
      <c r="AT148" s="2">
        <v>36</v>
      </c>
      <c r="AU148" s="2">
        <v>42</v>
      </c>
      <c r="AV148" s="2">
        <v>43</v>
      </c>
      <c r="AW148" s="2">
        <v>8</v>
      </c>
      <c r="AX148" s="2">
        <v>49</v>
      </c>
      <c r="BA148" s="2">
        <f t="shared" si="17"/>
        <v>0</v>
      </c>
      <c r="BD148" s="10">
        <v>85</v>
      </c>
      <c r="BE148" s="2" t="b">
        <f t="shared" si="18"/>
        <v>0</v>
      </c>
      <c r="BF148" s="10">
        <v>85</v>
      </c>
      <c r="BG148" s="2" t="b">
        <f t="shared" si="13"/>
        <v>1</v>
      </c>
      <c r="BH148" s="10">
        <v>85</v>
      </c>
      <c r="BI148" s="2" t="b">
        <f t="shared" si="14"/>
        <v>1</v>
      </c>
      <c r="BJ148" s="10">
        <v>85</v>
      </c>
      <c r="BK148" s="2" t="b">
        <f t="shared" si="15"/>
        <v>1</v>
      </c>
    </row>
    <row r="149" spans="1:64" s="6" customFormat="1" x14ac:dyDescent="0.2">
      <c r="A149" s="6" t="s">
        <v>543</v>
      </c>
      <c r="B149" s="7" t="s">
        <v>16</v>
      </c>
      <c r="C149" s="6">
        <v>16</v>
      </c>
      <c r="D149" s="7" t="s">
        <v>19</v>
      </c>
      <c r="E149" s="6">
        <v>9</v>
      </c>
      <c r="F149" s="7" t="s">
        <v>13</v>
      </c>
      <c r="G149" s="6">
        <v>19</v>
      </c>
      <c r="H149" s="7"/>
      <c r="J149" s="7"/>
      <c r="L149" s="7"/>
      <c r="N149" s="7"/>
      <c r="P149" s="7"/>
      <c r="R149" s="7"/>
      <c r="T149" s="7"/>
      <c r="V149" s="7"/>
      <c r="X149" s="7"/>
      <c r="Z149" s="7"/>
      <c r="AB149" s="6" t="s">
        <v>22</v>
      </c>
      <c r="AC149" s="6" t="b">
        <f t="shared" si="16"/>
        <v>1</v>
      </c>
      <c r="AE149" s="6">
        <f>(+E149+G149)</f>
        <v>28</v>
      </c>
      <c r="AF149" s="6">
        <f>(+C149)</f>
        <v>16</v>
      </c>
      <c r="AG149" s="6">
        <f>(+C149+G149)</f>
        <v>35</v>
      </c>
      <c r="AH149" s="6">
        <f>(+C149+E149+G149)</f>
        <v>44</v>
      </c>
      <c r="AI149" s="6">
        <f>(+C149+E149+G149)</f>
        <v>44</v>
      </c>
      <c r="AO149" s="6" t="s">
        <v>22</v>
      </c>
      <c r="AP149" s="6">
        <v>28</v>
      </c>
      <c r="AQ149" s="6">
        <v>16</v>
      </c>
      <c r="AR149" s="6">
        <v>35</v>
      </c>
      <c r="AS149" s="6">
        <v>44</v>
      </c>
      <c r="AT149" s="6">
        <v>44</v>
      </c>
      <c r="BA149" s="6">
        <f t="shared" si="17"/>
        <v>44</v>
      </c>
      <c r="BB149" s="2"/>
      <c r="BC149" s="2"/>
      <c r="BD149" s="10">
        <v>44</v>
      </c>
      <c r="BE149" s="2" t="b">
        <f t="shared" si="18"/>
        <v>1</v>
      </c>
      <c r="BF149" s="10">
        <v>44</v>
      </c>
      <c r="BG149" s="2" t="b">
        <f t="shared" si="13"/>
        <v>1</v>
      </c>
      <c r="BH149" s="10">
        <v>44</v>
      </c>
      <c r="BI149" s="2" t="b">
        <f t="shared" si="14"/>
        <v>1</v>
      </c>
      <c r="BJ149" s="10">
        <v>44</v>
      </c>
      <c r="BK149" s="2" t="b">
        <f t="shared" si="15"/>
        <v>1</v>
      </c>
      <c r="BL149" s="2"/>
    </row>
    <row r="150" spans="1:64" x14ac:dyDescent="0.2">
      <c r="A150" s="2" t="s">
        <v>544</v>
      </c>
      <c r="B150" s="5" t="s">
        <v>433</v>
      </c>
      <c r="C150" s="2">
        <v>0</v>
      </c>
      <c r="D150" s="5" t="s">
        <v>89</v>
      </c>
      <c r="E150" s="2">
        <v>0</v>
      </c>
      <c r="F150" s="5" t="s">
        <v>9</v>
      </c>
      <c r="G150" s="2">
        <v>0</v>
      </c>
      <c r="H150" s="5" t="s">
        <v>18</v>
      </c>
      <c r="I150" s="2">
        <v>0</v>
      </c>
      <c r="J150" s="5" t="s">
        <v>306</v>
      </c>
      <c r="K150" s="2">
        <v>0</v>
      </c>
      <c r="L150" s="5" t="s">
        <v>25</v>
      </c>
      <c r="M150" s="2">
        <v>0</v>
      </c>
      <c r="N150" s="5" t="s">
        <v>113</v>
      </c>
      <c r="O150" s="2">
        <v>0</v>
      </c>
      <c r="P150" s="5" t="s">
        <v>366</v>
      </c>
      <c r="Q150" s="2">
        <v>0</v>
      </c>
      <c r="R150" s="5" t="s">
        <v>253</v>
      </c>
      <c r="S150" s="2">
        <v>0</v>
      </c>
      <c r="AB150" s="4" t="s">
        <v>22</v>
      </c>
      <c r="AC150" s="2" t="b">
        <f t="shared" si="16"/>
        <v>0</v>
      </c>
      <c r="AE150" s="2">
        <f>(+C150+E150+I150+K150+Q150+S150)</f>
        <v>0</v>
      </c>
      <c r="AF150" s="2">
        <f>(+C150+I150)</f>
        <v>0</v>
      </c>
      <c r="AG150" s="2">
        <f>(+E150+G150+I150+K150+O150)</f>
        <v>0</v>
      </c>
      <c r="AH150" s="2">
        <f>(+C150+G150+I150+M150+Q150)</f>
        <v>0</v>
      </c>
      <c r="AI150" s="2">
        <f>(+I150+K150+M150+Q150)</f>
        <v>0</v>
      </c>
      <c r="AJ150" s="2">
        <f>(+C150+E150+K150+Q150)</f>
        <v>0</v>
      </c>
      <c r="AK150" s="2">
        <f>(+E150+K150+O150)</f>
        <v>0</v>
      </c>
      <c r="AO150" s="4" t="s">
        <v>22</v>
      </c>
      <c r="AP150" s="2">
        <v>190</v>
      </c>
      <c r="AQ150" s="2">
        <v>21</v>
      </c>
      <c r="AR150" s="2">
        <v>181</v>
      </c>
      <c r="AS150" s="2">
        <v>45</v>
      </c>
      <c r="AT150" s="2">
        <v>179</v>
      </c>
      <c r="AU150" s="2">
        <v>162</v>
      </c>
      <c r="AV150" s="2">
        <v>161</v>
      </c>
      <c r="BA150" s="2">
        <f t="shared" si="17"/>
        <v>0</v>
      </c>
      <c r="BD150" s="10">
        <v>0</v>
      </c>
      <c r="BE150" s="2" t="b">
        <f t="shared" si="18"/>
        <v>0</v>
      </c>
      <c r="BF150" s="10">
        <v>0</v>
      </c>
      <c r="BG150" s="2" t="b">
        <f t="shared" si="13"/>
        <v>1</v>
      </c>
      <c r="BH150" s="10">
        <v>214</v>
      </c>
      <c r="BI150" s="2" t="b">
        <f t="shared" si="14"/>
        <v>0</v>
      </c>
      <c r="BJ150" s="10">
        <v>214</v>
      </c>
      <c r="BK150" s="2" t="b">
        <f t="shared" si="15"/>
        <v>1</v>
      </c>
    </row>
    <row r="151" spans="1:64" x14ac:dyDescent="0.2">
      <c r="A151" s="2" t="s">
        <v>545</v>
      </c>
      <c r="B151" s="5" t="s">
        <v>19</v>
      </c>
      <c r="C151" s="2">
        <v>0</v>
      </c>
      <c r="D151" s="5" t="s">
        <v>16</v>
      </c>
      <c r="E151" s="2">
        <v>0</v>
      </c>
      <c r="F151" s="5" t="s">
        <v>25</v>
      </c>
      <c r="G151" s="2">
        <v>0</v>
      </c>
      <c r="H151" s="5" t="s">
        <v>128</v>
      </c>
      <c r="I151" s="2">
        <v>0</v>
      </c>
      <c r="J151" s="5" t="s">
        <v>38</v>
      </c>
      <c r="K151" s="2">
        <v>0</v>
      </c>
      <c r="L151" s="5" t="s">
        <v>21</v>
      </c>
      <c r="M151" s="2">
        <v>0</v>
      </c>
      <c r="AB151" s="4" t="s">
        <v>22</v>
      </c>
      <c r="AC151" s="2" t="b">
        <f t="shared" si="16"/>
        <v>0</v>
      </c>
      <c r="AE151" s="2">
        <f>(+C151+I151)</f>
        <v>0</v>
      </c>
      <c r="AF151" s="2">
        <f>(+E151+I151+K151+M151)</f>
        <v>0</v>
      </c>
      <c r="AG151" s="2">
        <f>(+E151+M151)</f>
        <v>0</v>
      </c>
      <c r="AH151" s="2">
        <f>(+C151+E151+G151)</f>
        <v>0</v>
      </c>
      <c r="AI151" s="2">
        <f>(+C151+E151+G151+I151)</f>
        <v>0</v>
      </c>
      <c r="AO151" s="4" t="s">
        <v>22</v>
      </c>
      <c r="AP151" s="2">
        <v>7</v>
      </c>
      <c r="AQ151" s="2">
        <v>41</v>
      </c>
      <c r="AR151" s="2">
        <v>34</v>
      </c>
      <c r="AS151" s="2">
        <v>33</v>
      </c>
      <c r="AT151" s="2">
        <v>40</v>
      </c>
      <c r="BA151" s="2">
        <f t="shared" si="17"/>
        <v>0</v>
      </c>
      <c r="BD151" s="10">
        <v>41</v>
      </c>
      <c r="BE151" s="2" t="b">
        <f t="shared" si="18"/>
        <v>0</v>
      </c>
      <c r="BF151" s="10">
        <v>41</v>
      </c>
      <c r="BG151" s="2" t="b">
        <f t="shared" si="13"/>
        <v>1</v>
      </c>
      <c r="BH151" s="10">
        <v>41</v>
      </c>
      <c r="BI151" s="2" t="b">
        <f t="shared" si="14"/>
        <v>1</v>
      </c>
      <c r="BJ151" s="10">
        <v>41</v>
      </c>
      <c r="BK151" s="2" t="b">
        <f t="shared" si="15"/>
        <v>1</v>
      </c>
    </row>
    <row r="152" spans="1:64" s="6" customFormat="1" x14ac:dyDescent="0.2">
      <c r="A152" s="6" t="s">
        <v>546</v>
      </c>
      <c r="B152" s="7" t="s">
        <v>15</v>
      </c>
      <c r="C152" s="6">
        <v>19</v>
      </c>
      <c r="D152" s="7" t="s">
        <v>39</v>
      </c>
      <c r="E152" s="6">
        <v>143</v>
      </c>
      <c r="F152" s="7"/>
      <c r="H152" s="7"/>
      <c r="J152" s="7"/>
      <c r="L152" s="7"/>
      <c r="N152" s="7"/>
      <c r="P152" s="7"/>
      <c r="R152" s="7"/>
      <c r="T152" s="7"/>
      <c r="V152" s="7"/>
      <c r="X152" s="7"/>
      <c r="Z152" s="7"/>
      <c r="AB152" s="6" t="s">
        <v>22</v>
      </c>
      <c r="AC152" s="6" t="b">
        <f t="shared" si="16"/>
        <v>1</v>
      </c>
      <c r="AE152" s="6">
        <f>(+C152+E152)</f>
        <v>162</v>
      </c>
      <c r="AF152" s="6">
        <f>(+C152+E152)</f>
        <v>162</v>
      </c>
      <c r="AG152" s="6">
        <f>(+C152)</f>
        <v>19</v>
      </c>
      <c r="AH152" s="6">
        <f>(+E152)</f>
        <v>143</v>
      </c>
      <c r="AO152" s="6" t="s">
        <v>22</v>
      </c>
      <c r="AP152" s="6">
        <v>162</v>
      </c>
      <c r="AQ152" s="6">
        <v>162</v>
      </c>
      <c r="AR152" s="6">
        <v>19</v>
      </c>
      <c r="AS152" s="6">
        <v>143</v>
      </c>
      <c r="BA152" s="6">
        <f t="shared" si="17"/>
        <v>162</v>
      </c>
      <c r="BB152" s="2"/>
      <c r="BC152" s="2"/>
      <c r="BD152" s="10">
        <v>162</v>
      </c>
      <c r="BE152" s="2" t="b">
        <f t="shared" si="18"/>
        <v>1</v>
      </c>
      <c r="BF152" s="10">
        <v>162</v>
      </c>
      <c r="BG152" s="2" t="b">
        <f t="shared" si="13"/>
        <v>1</v>
      </c>
      <c r="BH152" s="10">
        <v>162</v>
      </c>
      <c r="BI152" s="2" t="b">
        <f t="shared" si="14"/>
        <v>1</v>
      </c>
      <c r="BJ152" s="10">
        <v>162</v>
      </c>
      <c r="BK152" s="2" t="b">
        <f t="shared" si="15"/>
        <v>1</v>
      </c>
      <c r="BL152" s="2"/>
    </row>
    <row r="153" spans="1:64" x14ac:dyDescent="0.2">
      <c r="A153" s="2" t="s">
        <v>547</v>
      </c>
      <c r="B153" s="5" t="s">
        <v>366</v>
      </c>
      <c r="C153" s="2">
        <v>0</v>
      </c>
      <c r="D153" s="5" t="s">
        <v>433</v>
      </c>
      <c r="E153" s="2">
        <v>0</v>
      </c>
      <c r="F153" s="5" t="s">
        <v>20</v>
      </c>
      <c r="G153" s="2">
        <v>0</v>
      </c>
      <c r="H153" s="5" t="s">
        <v>40</v>
      </c>
      <c r="I153" s="2">
        <v>0</v>
      </c>
      <c r="J153" s="5" t="s">
        <v>11</v>
      </c>
      <c r="K153" s="2">
        <v>0</v>
      </c>
      <c r="L153" s="5" t="s">
        <v>97</v>
      </c>
      <c r="M153" s="2">
        <v>0</v>
      </c>
      <c r="N153" s="5" t="s">
        <v>15</v>
      </c>
      <c r="O153" s="2">
        <v>0</v>
      </c>
      <c r="AB153" s="4" t="s">
        <v>22</v>
      </c>
      <c r="AC153" s="2" t="b">
        <f t="shared" si="16"/>
        <v>0</v>
      </c>
      <c r="AE153" s="2">
        <f>(+C153+E153+G153+I153+K153+O153)</f>
        <v>0</v>
      </c>
      <c r="AF153" s="2">
        <f>(+E153+G153+K153+O153)</f>
        <v>0</v>
      </c>
      <c r="AG153" s="2">
        <f>(+G153+I153+M153+O153)</f>
        <v>0</v>
      </c>
      <c r="AH153" s="2">
        <f>(+C153+E153+I153+M153)</f>
        <v>0</v>
      </c>
      <c r="AI153" s="2">
        <f>(+C153+G153)</f>
        <v>0</v>
      </c>
      <c r="AJ153" s="2">
        <f>(+C153+E153+G153+M153)</f>
        <v>0</v>
      </c>
      <c r="AO153" s="4" t="s">
        <v>22</v>
      </c>
      <c r="AP153" s="2">
        <v>51</v>
      </c>
      <c r="AQ153" s="2">
        <v>33</v>
      </c>
      <c r="AR153" s="2">
        <v>29</v>
      </c>
      <c r="AS153" s="2">
        <v>25</v>
      </c>
      <c r="AT153" s="2">
        <v>18</v>
      </c>
      <c r="AU153" s="2">
        <v>25</v>
      </c>
      <c r="BA153" s="2">
        <f t="shared" si="17"/>
        <v>0</v>
      </c>
      <c r="BD153" s="10">
        <v>51</v>
      </c>
      <c r="BE153" s="2" t="b">
        <f t="shared" si="18"/>
        <v>0</v>
      </c>
      <c r="BF153" s="10">
        <v>51</v>
      </c>
      <c r="BG153" s="2" t="b">
        <f t="shared" si="13"/>
        <v>1</v>
      </c>
      <c r="BH153" s="10">
        <v>51</v>
      </c>
      <c r="BI153" s="2" t="b">
        <f t="shared" si="14"/>
        <v>1</v>
      </c>
      <c r="BJ153" s="10">
        <v>51</v>
      </c>
      <c r="BK153" s="2" t="b">
        <f t="shared" si="15"/>
        <v>1</v>
      </c>
    </row>
    <row r="154" spans="1:64" x14ac:dyDescent="0.2">
      <c r="A154" s="2" t="s">
        <v>548</v>
      </c>
      <c r="B154" s="5" t="s">
        <v>21</v>
      </c>
      <c r="C154" s="2">
        <v>0</v>
      </c>
      <c r="D154" s="5" t="s">
        <v>6</v>
      </c>
      <c r="E154" s="2">
        <v>0</v>
      </c>
      <c r="F154" s="5" t="s">
        <v>15</v>
      </c>
      <c r="G154" s="2">
        <v>0</v>
      </c>
      <c r="H154" s="5" t="s">
        <v>9</v>
      </c>
      <c r="I154" s="2">
        <v>0</v>
      </c>
      <c r="J154" s="5" t="s">
        <v>8</v>
      </c>
      <c r="K154" s="2">
        <v>0</v>
      </c>
      <c r="L154" s="5" t="s">
        <v>253</v>
      </c>
      <c r="M154" s="2">
        <v>0</v>
      </c>
      <c r="AB154" s="4" t="s">
        <v>22</v>
      </c>
      <c r="AC154" s="2" t="b">
        <f t="shared" si="16"/>
        <v>0</v>
      </c>
      <c r="AE154" s="2">
        <f>(+G154+M154)</f>
        <v>0</v>
      </c>
      <c r="AF154" s="2">
        <f>(+C154+G154)</f>
        <v>0</v>
      </c>
      <c r="AG154" s="2">
        <f>(+C154+G154+I154+K154)</f>
        <v>0</v>
      </c>
      <c r="AH154" s="2">
        <f>(+E154+I154)</f>
        <v>0</v>
      </c>
      <c r="AO154" s="4" t="s">
        <v>22</v>
      </c>
      <c r="AP154" s="2">
        <v>3</v>
      </c>
      <c r="AQ154" s="2">
        <v>3</v>
      </c>
      <c r="AR154" s="2">
        <v>34</v>
      </c>
      <c r="AS154" s="2">
        <v>25</v>
      </c>
      <c r="BA154" s="2">
        <f t="shared" si="17"/>
        <v>0</v>
      </c>
      <c r="BD154" s="10">
        <v>34</v>
      </c>
      <c r="BE154" s="2" t="b">
        <f t="shared" si="18"/>
        <v>0</v>
      </c>
      <c r="BF154" s="10">
        <v>34</v>
      </c>
      <c r="BG154" s="2" t="b">
        <f t="shared" si="13"/>
        <v>1</v>
      </c>
      <c r="BH154" s="10">
        <v>34</v>
      </c>
      <c r="BI154" s="2" t="b">
        <f t="shared" si="14"/>
        <v>1</v>
      </c>
      <c r="BJ154" s="10">
        <v>34</v>
      </c>
      <c r="BK154" s="2" t="b">
        <f t="shared" si="15"/>
        <v>1</v>
      </c>
    </row>
    <row r="155" spans="1:64" x14ac:dyDescent="0.2">
      <c r="A155" s="2" t="s">
        <v>549</v>
      </c>
      <c r="B155" s="5" t="s">
        <v>550</v>
      </c>
      <c r="C155" s="2">
        <v>0</v>
      </c>
      <c r="D155" s="5" t="s">
        <v>356</v>
      </c>
      <c r="E155" s="2">
        <v>0</v>
      </c>
      <c r="F155" s="5" t="s">
        <v>67</v>
      </c>
      <c r="G155" s="2">
        <v>0</v>
      </c>
      <c r="H155" s="5" t="s">
        <v>143</v>
      </c>
      <c r="I155" s="2">
        <v>0</v>
      </c>
      <c r="J155" s="5" t="s">
        <v>380</v>
      </c>
      <c r="K155" s="2">
        <v>0</v>
      </c>
      <c r="L155" s="5" t="s">
        <v>309</v>
      </c>
      <c r="M155" s="2">
        <v>0</v>
      </c>
      <c r="N155" s="5" t="s">
        <v>441</v>
      </c>
      <c r="O155" s="2">
        <v>0</v>
      </c>
      <c r="AB155" s="4" t="s">
        <v>22</v>
      </c>
      <c r="AC155" s="2" t="b">
        <f t="shared" si="16"/>
        <v>0</v>
      </c>
      <c r="AE155" s="2">
        <f>(+C155+E155+G155+I155+O155)</f>
        <v>0</v>
      </c>
      <c r="AF155" s="2">
        <f>(+C155+K155)</f>
        <v>0</v>
      </c>
      <c r="AG155" s="2">
        <f>(+C155+E155+I155+K155+M155+O155)</f>
        <v>0</v>
      </c>
      <c r="AH155" s="2">
        <f>(+E155+I155+K155+M155+O155)</f>
        <v>0</v>
      </c>
      <c r="AI155" s="2">
        <f>(+C155+E155+I155+K155)</f>
        <v>0</v>
      </c>
      <c r="AJ155" s="2">
        <f>(+E155+K155+M155+O155)</f>
        <v>0</v>
      </c>
      <c r="AK155" s="2">
        <f>(+G155+I155+K155+M155+O155)</f>
        <v>0</v>
      </c>
      <c r="AL155" s="2">
        <f>(+C155+E155+G155+I155+O155)</f>
        <v>0</v>
      </c>
      <c r="AO155" s="4" t="s">
        <v>22</v>
      </c>
      <c r="AP155" s="2">
        <v>51</v>
      </c>
      <c r="AQ155" s="2">
        <v>11</v>
      </c>
      <c r="AR155" s="2">
        <v>59</v>
      </c>
      <c r="AS155" s="2">
        <v>56</v>
      </c>
      <c r="AT155" s="2">
        <v>35</v>
      </c>
      <c r="AU155" s="2">
        <v>40</v>
      </c>
      <c r="AV155" s="2">
        <v>54</v>
      </c>
      <c r="AW155" s="2">
        <v>51</v>
      </c>
      <c r="BA155" s="2">
        <f t="shared" si="17"/>
        <v>0</v>
      </c>
      <c r="BD155" s="10">
        <v>65</v>
      </c>
      <c r="BE155" s="2" t="b">
        <f t="shared" si="18"/>
        <v>0</v>
      </c>
      <c r="BF155" s="10">
        <v>65</v>
      </c>
      <c r="BG155" s="2" t="b">
        <f t="shared" si="13"/>
        <v>1</v>
      </c>
      <c r="BH155" s="10">
        <v>65</v>
      </c>
      <c r="BI155" s="2" t="b">
        <f t="shared" si="14"/>
        <v>1</v>
      </c>
      <c r="BJ155" s="10">
        <v>65</v>
      </c>
      <c r="BK155" s="2" t="b">
        <f t="shared" si="15"/>
        <v>1</v>
      </c>
    </row>
    <row r="156" spans="1:64" x14ac:dyDescent="0.2">
      <c r="A156" s="2" t="s">
        <v>551</v>
      </c>
      <c r="B156" s="5" t="s">
        <v>7</v>
      </c>
      <c r="C156" s="2">
        <v>0</v>
      </c>
      <c r="D156" s="5" t="s">
        <v>6</v>
      </c>
      <c r="E156" s="2">
        <v>0</v>
      </c>
      <c r="F156" s="5" t="s">
        <v>14</v>
      </c>
      <c r="G156" s="2">
        <v>0</v>
      </c>
      <c r="H156" s="5" t="s">
        <v>10</v>
      </c>
      <c r="I156" s="2">
        <v>0</v>
      </c>
      <c r="J156" s="5" t="s">
        <v>39</v>
      </c>
      <c r="K156" s="2">
        <v>0</v>
      </c>
      <c r="L156" s="5" t="s">
        <v>19</v>
      </c>
      <c r="M156" s="2">
        <v>0</v>
      </c>
      <c r="AB156" s="4" t="s">
        <v>22</v>
      </c>
      <c r="AC156" s="2" t="b">
        <f t="shared" si="16"/>
        <v>0</v>
      </c>
      <c r="AE156" s="2">
        <f>(+G156+I156+K156+M156)</f>
        <v>0</v>
      </c>
      <c r="AF156" s="2">
        <f>(+C156+K156)</f>
        <v>0</v>
      </c>
      <c r="AG156" s="2">
        <f>(+I156)</f>
        <v>0</v>
      </c>
      <c r="AH156" s="2">
        <f>(+C156+E156+K156+M156)</f>
        <v>0</v>
      </c>
      <c r="AI156" s="2">
        <f>(+G156+M156)</f>
        <v>0</v>
      </c>
      <c r="AO156" s="4" t="s">
        <v>22</v>
      </c>
      <c r="AP156" s="2">
        <v>45</v>
      </c>
      <c r="AQ156" s="2">
        <v>28</v>
      </c>
      <c r="AR156" s="2">
        <v>13</v>
      </c>
      <c r="AS156" s="2">
        <v>62</v>
      </c>
      <c r="AT156" s="2">
        <v>19</v>
      </c>
      <c r="BA156" s="2">
        <f t="shared" si="17"/>
        <v>0</v>
      </c>
      <c r="BD156" s="10">
        <v>75</v>
      </c>
      <c r="BE156" s="2" t="b">
        <f t="shared" si="18"/>
        <v>0</v>
      </c>
      <c r="BF156" s="10">
        <v>75</v>
      </c>
      <c r="BG156" s="2" t="b">
        <f t="shared" si="13"/>
        <v>1</v>
      </c>
      <c r="BH156" s="10">
        <v>75</v>
      </c>
      <c r="BI156" s="2" t="b">
        <f t="shared" si="14"/>
        <v>1</v>
      </c>
      <c r="BJ156" s="10">
        <v>75</v>
      </c>
      <c r="BK156" s="2" t="b">
        <f t="shared" si="15"/>
        <v>1</v>
      </c>
    </row>
    <row r="157" spans="1:64" x14ac:dyDescent="0.2">
      <c r="A157" s="2" t="s">
        <v>552</v>
      </c>
      <c r="B157" s="5" t="s">
        <v>553</v>
      </c>
      <c r="C157" s="2">
        <v>0</v>
      </c>
      <c r="D157" s="5" t="s">
        <v>554</v>
      </c>
      <c r="E157" s="2">
        <v>0</v>
      </c>
      <c r="F157" s="5" t="s">
        <v>555</v>
      </c>
      <c r="G157" s="2">
        <v>0</v>
      </c>
      <c r="H157" s="5" t="s">
        <v>556</v>
      </c>
      <c r="I157" s="2">
        <v>0</v>
      </c>
      <c r="J157" s="5" t="s">
        <v>292</v>
      </c>
      <c r="K157" s="2">
        <v>0</v>
      </c>
      <c r="L157" s="5" t="s">
        <v>557</v>
      </c>
      <c r="M157" s="2">
        <v>0</v>
      </c>
      <c r="N157" s="5" t="s">
        <v>558</v>
      </c>
      <c r="O157" s="2">
        <v>0</v>
      </c>
      <c r="P157" s="5" t="s">
        <v>559</v>
      </c>
      <c r="Q157" s="2">
        <v>0</v>
      </c>
      <c r="AB157" s="4" t="s">
        <v>22</v>
      </c>
      <c r="AC157" s="2" t="b">
        <f t="shared" si="16"/>
        <v>0</v>
      </c>
      <c r="AE157" s="2">
        <f>(+C157+K157+M157+O157)</f>
        <v>0</v>
      </c>
      <c r="AF157" s="2">
        <f>(+C157+I157+K157+M157)</f>
        <v>0</v>
      </c>
      <c r="AG157" s="2">
        <f>(+C157+E157+I157+K157+M157)</f>
        <v>0</v>
      </c>
      <c r="AH157" s="2">
        <f>(+C157+G157+I157+K157+M157+Q157)</f>
        <v>0</v>
      </c>
      <c r="AI157" s="2">
        <f>(+C157+E157+I157)</f>
        <v>0</v>
      </c>
      <c r="AJ157" s="2">
        <f>(+E157+K157+M157+Q157)</f>
        <v>0</v>
      </c>
      <c r="AK157" s="2">
        <f>(+C157+E157+I157+K157+M157+Q157)</f>
        <v>0</v>
      </c>
      <c r="AL157" s="2">
        <f>(+I157+K157+O157)</f>
        <v>0</v>
      </c>
      <c r="AM157" s="2">
        <f>(+C157+G157+I157+K157+O157)</f>
        <v>0</v>
      </c>
      <c r="AN157" s="2">
        <f>(+C157+E157+G157+I157+M157+O157+Q157)</f>
        <v>0</v>
      </c>
      <c r="AO157" s="4" t="s">
        <v>22</v>
      </c>
      <c r="AP157" s="2">
        <v>213</v>
      </c>
      <c r="AQ157" s="2">
        <v>50</v>
      </c>
      <c r="AR157" s="2">
        <v>57</v>
      </c>
      <c r="AS157" s="2">
        <v>55</v>
      </c>
      <c r="AT157" s="2">
        <v>27</v>
      </c>
      <c r="AU157" s="2">
        <v>42</v>
      </c>
      <c r="AV157" s="2">
        <v>62</v>
      </c>
      <c r="AW157" s="2">
        <v>200</v>
      </c>
      <c r="AX157" s="2">
        <v>210</v>
      </c>
      <c r="AY157" s="2">
        <v>218</v>
      </c>
      <c r="BA157" s="2">
        <f t="shared" si="17"/>
        <v>0</v>
      </c>
      <c r="BD157" s="10">
        <v>0</v>
      </c>
      <c r="BE157" s="2" t="b">
        <f t="shared" si="18"/>
        <v>0</v>
      </c>
      <c r="BF157" s="10">
        <v>0</v>
      </c>
      <c r="BG157" s="2" t="b">
        <f t="shared" si="13"/>
        <v>1</v>
      </c>
      <c r="BH157" s="10">
        <v>235</v>
      </c>
      <c r="BI157" s="2" t="b">
        <f t="shared" si="14"/>
        <v>0</v>
      </c>
      <c r="BJ157" s="10">
        <v>235</v>
      </c>
      <c r="BK157" s="2" t="b">
        <f t="shared" si="15"/>
        <v>1</v>
      </c>
    </row>
    <row r="158" spans="1:64" x14ac:dyDescent="0.2">
      <c r="A158" s="2" t="s">
        <v>560</v>
      </c>
      <c r="B158" s="5" t="s">
        <v>302</v>
      </c>
      <c r="C158" s="2">
        <v>0</v>
      </c>
      <c r="D158" s="5" t="s">
        <v>116</v>
      </c>
      <c r="E158" s="2">
        <v>0</v>
      </c>
      <c r="F158" s="5" t="s">
        <v>290</v>
      </c>
      <c r="G158" s="2">
        <v>0</v>
      </c>
      <c r="H158" s="5" t="s">
        <v>11</v>
      </c>
      <c r="I158" s="2">
        <v>0</v>
      </c>
      <c r="J158" s="5" t="s">
        <v>193</v>
      </c>
      <c r="K158" s="2">
        <v>0</v>
      </c>
      <c r="L158" s="5" t="s">
        <v>15</v>
      </c>
      <c r="M158" s="2">
        <v>0</v>
      </c>
      <c r="N158" s="5" t="s">
        <v>14</v>
      </c>
      <c r="O158" s="2">
        <v>0</v>
      </c>
      <c r="P158" s="5" t="s">
        <v>257</v>
      </c>
      <c r="Q158" s="2">
        <v>0</v>
      </c>
      <c r="AB158" s="4" t="s">
        <v>22</v>
      </c>
      <c r="AC158" s="2" t="b">
        <f t="shared" si="16"/>
        <v>0</v>
      </c>
      <c r="AE158" s="2">
        <f>(+I158+K158+M158+O158+Q158)</f>
        <v>0</v>
      </c>
      <c r="AF158" s="2">
        <f>(+E158+G158+I158+K158+M158+Q158)</f>
        <v>0</v>
      </c>
      <c r="AG158" s="2">
        <f>(+E158+M158+Q158)</f>
        <v>0</v>
      </c>
      <c r="AH158" s="2">
        <f>(+E158+K158+Q158)</f>
        <v>0</v>
      </c>
      <c r="AI158" s="2">
        <f>(+E158+G158+K158+O158)</f>
        <v>0</v>
      </c>
      <c r="AJ158" s="2">
        <f>(+C158+E158+G158+K158)</f>
        <v>0</v>
      </c>
      <c r="AK158" s="2">
        <f>(+C158+Q158)</f>
        <v>0</v>
      </c>
      <c r="AO158" s="4" t="s">
        <v>22</v>
      </c>
      <c r="AP158" s="2">
        <v>48</v>
      </c>
      <c r="AQ158" s="2">
        <v>68</v>
      </c>
      <c r="AR158" s="2">
        <v>39</v>
      </c>
      <c r="AS158" s="2">
        <v>23</v>
      </c>
      <c r="AT158" s="2">
        <v>58</v>
      </c>
      <c r="AU158" s="2">
        <v>60</v>
      </c>
      <c r="AV158" s="2">
        <v>22</v>
      </c>
      <c r="BA158" s="2">
        <f t="shared" si="17"/>
        <v>0</v>
      </c>
      <c r="BD158" s="10">
        <v>102</v>
      </c>
      <c r="BE158" s="2" t="b">
        <f t="shared" si="18"/>
        <v>0</v>
      </c>
      <c r="BF158" s="10">
        <v>102</v>
      </c>
      <c r="BG158" s="2" t="b">
        <f t="shared" si="13"/>
        <v>1</v>
      </c>
      <c r="BH158" s="10">
        <v>102</v>
      </c>
      <c r="BI158" s="2" t="b">
        <f t="shared" si="14"/>
        <v>1</v>
      </c>
      <c r="BJ158" s="10">
        <v>102</v>
      </c>
      <c r="BK158" s="2" t="b">
        <f t="shared" si="15"/>
        <v>1</v>
      </c>
    </row>
    <row r="159" spans="1:64" s="6" customFormat="1" x14ac:dyDescent="0.2">
      <c r="A159" s="6" t="s">
        <v>561</v>
      </c>
      <c r="B159" s="7" t="s">
        <v>40</v>
      </c>
      <c r="C159" s="6">
        <v>10</v>
      </c>
      <c r="D159" s="7" t="s">
        <v>204</v>
      </c>
      <c r="E159" s="6">
        <v>18</v>
      </c>
      <c r="F159" s="7" t="s">
        <v>24</v>
      </c>
      <c r="G159" s="6">
        <v>12</v>
      </c>
      <c r="H159" s="7" t="s">
        <v>14</v>
      </c>
      <c r="I159" s="6">
        <v>17</v>
      </c>
      <c r="J159" s="7"/>
      <c r="L159" s="7"/>
      <c r="N159" s="7"/>
      <c r="P159" s="7"/>
      <c r="R159" s="7"/>
      <c r="T159" s="7"/>
      <c r="V159" s="7"/>
      <c r="X159" s="7"/>
      <c r="Z159" s="7"/>
      <c r="AB159" s="6" t="s">
        <v>22</v>
      </c>
      <c r="AC159" s="6" t="b">
        <f t="shared" si="16"/>
        <v>1</v>
      </c>
      <c r="AE159" s="6">
        <f>(+C159+E159+I159)</f>
        <v>45</v>
      </c>
      <c r="AF159" s="6">
        <f>(+E159)</f>
        <v>18</v>
      </c>
      <c r="AG159" s="6">
        <f>(+C159+G159)</f>
        <v>22</v>
      </c>
      <c r="AH159" s="6">
        <f>(+C159+E159)</f>
        <v>28</v>
      </c>
      <c r="AI159" s="6">
        <f>(+E159+G159+I159)</f>
        <v>47</v>
      </c>
      <c r="AO159" s="6" t="s">
        <v>22</v>
      </c>
      <c r="AP159" s="6">
        <v>45</v>
      </c>
      <c r="AQ159" s="6">
        <v>18</v>
      </c>
      <c r="AR159" s="6">
        <v>22</v>
      </c>
      <c r="AS159" s="6">
        <v>28</v>
      </c>
      <c r="AT159" s="6">
        <v>47</v>
      </c>
      <c r="BA159" s="6">
        <f t="shared" si="17"/>
        <v>57</v>
      </c>
      <c r="BB159" s="2"/>
      <c r="BC159" s="2"/>
      <c r="BD159" s="10">
        <v>57</v>
      </c>
      <c r="BE159" s="2" t="b">
        <f t="shared" si="18"/>
        <v>1</v>
      </c>
      <c r="BF159" s="10">
        <v>57</v>
      </c>
      <c r="BG159" s="2" t="b">
        <f t="shared" si="13"/>
        <v>1</v>
      </c>
      <c r="BH159" s="10">
        <v>57</v>
      </c>
      <c r="BI159" s="2" t="b">
        <f t="shared" si="14"/>
        <v>1</v>
      </c>
      <c r="BJ159" s="10">
        <v>57</v>
      </c>
      <c r="BK159" s="2" t="b">
        <f t="shared" si="15"/>
        <v>1</v>
      </c>
      <c r="BL159" s="2"/>
    </row>
    <row r="160" spans="1:64" x14ac:dyDescent="0.2">
      <c r="A160" s="2" t="s">
        <v>562</v>
      </c>
      <c r="B160" s="5" t="s">
        <v>302</v>
      </c>
      <c r="C160" s="2">
        <v>0</v>
      </c>
      <c r="D160" s="5" t="s">
        <v>352</v>
      </c>
      <c r="E160" s="2">
        <v>0</v>
      </c>
      <c r="F160" s="5" t="s">
        <v>24</v>
      </c>
      <c r="G160" s="2">
        <v>0</v>
      </c>
      <c r="H160" s="5" t="s">
        <v>362</v>
      </c>
      <c r="I160" s="2">
        <v>0</v>
      </c>
      <c r="J160" s="5" t="s">
        <v>563</v>
      </c>
      <c r="K160" s="2">
        <v>0</v>
      </c>
      <c r="L160" s="5" t="s">
        <v>303</v>
      </c>
      <c r="M160" s="2">
        <v>0</v>
      </c>
      <c r="N160" s="5" t="s">
        <v>15</v>
      </c>
      <c r="O160" s="2">
        <v>0</v>
      </c>
      <c r="P160" s="5" t="s">
        <v>564</v>
      </c>
      <c r="Q160" s="2">
        <v>0</v>
      </c>
      <c r="AB160" s="4" t="s">
        <v>22</v>
      </c>
      <c r="AC160" s="2" t="b">
        <f t="shared" si="16"/>
        <v>0</v>
      </c>
      <c r="AE160" s="2">
        <f>(+I160+K160+M160+O160+Q160)</f>
        <v>0</v>
      </c>
      <c r="AF160" s="2">
        <f>(+E160+I160+K160+O160)</f>
        <v>0</v>
      </c>
      <c r="AG160" s="2">
        <f>(+E160+G160+K160+M160+O160)</f>
        <v>0</v>
      </c>
      <c r="AH160" s="2">
        <f>(+I160+Q160)</f>
        <v>0</v>
      </c>
      <c r="AI160" s="2">
        <f>(+G160+K160)</f>
        <v>0</v>
      </c>
      <c r="AJ160" s="2">
        <f>(+C160+I160+K160+Q160)</f>
        <v>0</v>
      </c>
      <c r="AK160" s="2">
        <f>(+C160+I160+K160+M160)</f>
        <v>0</v>
      </c>
      <c r="AL160" s="2">
        <f>(+E160+I160+Q160)</f>
        <v>0</v>
      </c>
      <c r="AO160" s="4" t="s">
        <v>22</v>
      </c>
      <c r="AP160" s="2">
        <v>65</v>
      </c>
      <c r="AQ160" s="2">
        <v>69</v>
      </c>
      <c r="AR160" s="2">
        <v>74</v>
      </c>
      <c r="AS160" s="2">
        <v>27</v>
      </c>
      <c r="AT160" s="2">
        <v>36</v>
      </c>
      <c r="AU160" s="2">
        <v>57</v>
      </c>
      <c r="AV160" s="2">
        <v>55</v>
      </c>
      <c r="AW160" s="2">
        <v>43</v>
      </c>
      <c r="BA160" s="2">
        <f t="shared" si="17"/>
        <v>0</v>
      </c>
      <c r="BD160" s="10">
        <v>115</v>
      </c>
      <c r="BE160" s="2" t="b">
        <f t="shared" si="18"/>
        <v>0</v>
      </c>
      <c r="BF160" s="10">
        <v>115</v>
      </c>
      <c r="BG160" s="2" t="b">
        <f t="shared" si="13"/>
        <v>1</v>
      </c>
      <c r="BH160" s="10">
        <v>115</v>
      </c>
      <c r="BI160" s="2" t="b">
        <f t="shared" si="14"/>
        <v>1</v>
      </c>
      <c r="BJ160" s="10">
        <v>115</v>
      </c>
      <c r="BK160" s="2" t="b">
        <f t="shared" si="15"/>
        <v>1</v>
      </c>
    </row>
    <row r="161" spans="1:63" x14ac:dyDescent="0.2">
      <c r="A161" s="2" t="s">
        <v>565</v>
      </c>
      <c r="B161" s="5" t="s">
        <v>207</v>
      </c>
      <c r="C161" s="2">
        <v>0</v>
      </c>
      <c r="D161" s="5" t="s">
        <v>160</v>
      </c>
      <c r="E161" s="2">
        <v>0</v>
      </c>
      <c r="F161" s="5" t="s">
        <v>566</v>
      </c>
      <c r="G161" s="2">
        <v>0</v>
      </c>
      <c r="H161" s="5" t="s">
        <v>567</v>
      </c>
      <c r="I161" s="2">
        <v>0</v>
      </c>
      <c r="J161" s="5" t="s">
        <v>148</v>
      </c>
      <c r="K161" s="2">
        <v>0</v>
      </c>
      <c r="AB161" s="4" t="s">
        <v>22</v>
      </c>
      <c r="AC161" s="2" t="b">
        <f t="shared" si="16"/>
        <v>0</v>
      </c>
      <c r="AE161" s="2">
        <f>(+E161+I161)</f>
        <v>0</v>
      </c>
      <c r="AF161" s="2">
        <f>(+C161+G161+I161)</f>
        <v>0</v>
      </c>
      <c r="AG161" s="2">
        <f>(+G161+K161)</f>
        <v>0</v>
      </c>
      <c r="AH161" s="2">
        <f>(+K161)</f>
        <v>0</v>
      </c>
      <c r="AI161" s="2">
        <f>(+E161+G161+I161)</f>
        <v>0</v>
      </c>
      <c r="AJ161" s="2">
        <f>(+E161+G161)</f>
        <v>0</v>
      </c>
      <c r="AK161" s="2">
        <f>(+C161+I161+K161)</f>
        <v>0</v>
      </c>
      <c r="AO161" s="4" t="s">
        <v>22</v>
      </c>
      <c r="AP161" s="2">
        <v>20</v>
      </c>
      <c r="AQ161" s="2">
        <v>29</v>
      </c>
      <c r="AR161" s="2">
        <v>14</v>
      </c>
      <c r="AS161" s="2">
        <v>7</v>
      </c>
      <c r="AT161" s="2">
        <v>27</v>
      </c>
      <c r="AU161" s="2">
        <v>18</v>
      </c>
      <c r="AV161" s="2">
        <v>29</v>
      </c>
      <c r="BA161" s="2">
        <f t="shared" si="17"/>
        <v>0</v>
      </c>
      <c r="BD161" s="10">
        <v>47</v>
      </c>
      <c r="BE161" s="2" t="b">
        <f t="shared" si="18"/>
        <v>0</v>
      </c>
      <c r="BF161" s="10">
        <v>47</v>
      </c>
      <c r="BG161" s="2" t="b">
        <f t="shared" si="13"/>
        <v>1</v>
      </c>
      <c r="BH161" s="10">
        <v>47</v>
      </c>
      <c r="BI161" s="2" t="b">
        <f t="shared" si="14"/>
        <v>1</v>
      </c>
      <c r="BJ161" s="10">
        <v>47</v>
      </c>
      <c r="BK161" s="2" t="b">
        <f t="shared" si="15"/>
        <v>1</v>
      </c>
    </row>
    <row r="162" spans="1:63" x14ac:dyDescent="0.2">
      <c r="A162" s="2" t="s">
        <v>568</v>
      </c>
      <c r="B162" s="5" t="s">
        <v>173</v>
      </c>
      <c r="C162" s="2">
        <v>0</v>
      </c>
      <c r="D162" s="5" t="s">
        <v>376</v>
      </c>
      <c r="E162" s="2">
        <v>0</v>
      </c>
      <c r="F162" s="5" t="s">
        <v>569</v>
      </c>
      <c r="G162" s="2">
        <v>0</v>
      </c>
      <c r="H162" s="5" t="s">
        <v>570</v>
      </c>
      <c r="I162" s="2">
        <v>0</v>
      </c>
      <c r="J162" s="5" t="s">
        <v>571</v>
      </c>
      <c r="K162" s="2">
        <v>0</v>
      </c>
      <c r="L162" s="5" t="s">
        <v>572</v>
      </c>
      <c r="M162" s="2">
        <v>0</v>
      </c>
      <c r="N162" s="5" t="s">
        <v>76</v>
      </c>
      <c r="O162" s="2">
        <v>0</v>
      </c>
      <c r="P162" s="5" t="s">
        <v>10</v>
      </c>
      <c r="Q162" s="2">
        <v>0</v>
      </c>
      <c r="R162" s="5" t="s">
        <v>315</v>
      </c>
      <c r="S162" s="2">
        <v>0</v>
      </c>
      <c r="T162" s="5" t="s">
        <v>573</v>
      </c>
      <c r="U162" s="2">
        <v>0</v>
      </c>
      <c r="AB162" s="4" t="s">
        <v>22</v>
      </c>
      <c r="AC162" s="2" t="b">
        <f t="shared" si="16"/>
        <v>0</v>
      </c>
      <c r="AE162" s="2">
        <f>(+G162+M162+Q162+S162+U162)</f>
        <v>0</v>
      </c>
      <c r="AF162" s="2">
        <f>(+G162+I162+O162+U162)</f>
        <v>0</v>
      </c>
      <c r="AG162" s="2">
        <f>(+E162+K162+M162+O162+Q162+U162)</f>
        <v>0</v>
      </c>
      <c r="AH162" s="2">
        <f>(+G162+K162+M162+U162)</f>
        <v>0</v>
      </c>
      <c r="AI162" s="2">
        <f>(+E162+G162+I162+M162+U162)</f>
        <v>0</v>
      </c>
      <c r="AJ162" s="2">
        <f>(+C162+E162+G162+M162+S162)</f>
        <v>0</v>
      </c>
      <c r="AK162" s="2">
        <f>(+E162+G162+I162+K162+M162)</f>
        <v>0</v>
      </c>
      <c r="AL162" s="2">
        <f>(+C162+E162+G162+K162+M162+U162)</f>
        <v>0</v>
      </c>
      <c r="AM162" s="2">
        <f>(+G162+K162+M162+S162+U162)</f>
        <v>0</v>
      </c>
      <c r="AN162" s="2">
        <f>(+I162+K162+O162+U162)</f>
        <v>0</v>
      </c>
      <c r="AO162" s="4" t="s">
        <v>22</v>
      </c>
      <c r="AP162" s="2">
        <v>230</v>
      </c>
      <c r="AQ162" s="2">
        <v>28</v>
      </c>
      <c r="AR162" s="2">
        <v>239</v>
      </c>
      <c r="AS162" s="2">
        <v>211</v>
      </c>
      <c r="AT162" s="2">
        <v>204</v>
      </c>
      <c r="AU162" s="2">
        <v>223</v>
      </c>
      <c r="AV162" s="2">
        <v>205</v>
      </c>
      <c r="AW162" s="2">
        <v>237</v>
      </c>
      <c r="AX162" s="2">
        <v>228</v>
      </c>
      <c r="AY162" s="2">
        <v>40</v>
      </c>
      <c r="BA162" s="2">
        <f t="shared" si="17"/>
        <v>0</v>
      </c>
      <c r="BD162" s="10">
        <v>0</v>
      </c>
      <c r="BE162" s="2" t="b">
        <f t="shared" si="18"/>
        <v>0</v>
      </c>
      <c r="BF162" s="10">
        <v>0</v>
      </c>
      <c r="BG162" s="2" t="b">
        <f t="shared" si="13"/>
        <v>1</v>
      </c>
      <c r="BH162" s="10">
        <v>0</v>
      </c>
      <c r="BI162" s="2" t="b">
        <f t="shared" si="14"/>
        <v>1</v>
      </c>
      <c r="BJ162" s="10">
        <v>281</v>
      </c>
      <c r="BK162" s="2" t="b">
        <f t="shared" si="15"/>
        <v>0</v>
      </c>
    </row>
    <row r="163" spans="1:63" x14ac:dyDescent="0.2">
      <c r="A163" s="2" t="s">
        <v>574</v>
      </c>
      <c r="B163" s="5" t="s">
        <v>296</v>
      </c>
      <c r="C163" s="2">
        <v>0</v>
      </c>
      <c r="D163" s="5" t="s">
        <v>148</v>
      </c>
      <c r="E163" s="2">
        <v>0</v>
      </c>
      <c r="F163" s="5" t="s">
        <v>257</v>
      </c>
      <c r="G163" s="2">
        <v>0</v>
      </c>
      <c r="H163" s="5" t="s">
        <v>111</v>
      </c>
      <c r="I163" s="2">
        <v>0</v>
      </c>
      <c r="J163" s="5" t="s">
        <v>21</v>
      </c>
      <c r="K163" s="2">
        <v>0</v>
      </c>
      <c r="AB163" s="4" t="s">
        <v>22</v>
      </c>
      <c r="AC163" s="2" t="b">
        <f t="shared" si="16"/>
        <v>0</v>
      </c>
      <c r="AE163" s="2">
        <f>(+C163+G163)</f>
        <v>0</v>
      </c>
      <c r="AF163" s="2">
        <f>(+G163+I163+K163)</f>
        <v>0</v>
      </c>
      <c r="AG163" s="2">
        <f>(+E163+G163+K163)</f>
        <v>0</v>
      </c>
      <c r="AH163" s="2">
        <f>(+C163+E163+G163+I163)</f>
        <v>0</v>
      </c>
      <c r="AI163" s="2">
        <f>(+I163)</f>
        <v>0</v>
      </c>
      <c r="AJ163" s="2">
        <f>(+C163+I163)</f>
        <v>0</v>
      </c>
      <c r="AK163" s="2">
        <f>(+C163+E163+G163+I163)</f>
        <v>0</v>
      </c>
      <c r="AO163" s="4" t="s">
        <v>22</v>
      </c>
      <c r="AP163" s="2">
        <v>6</v>
      </c>
      <c r="AQ163" s="2">
        <v>9</v>
      </c>
      <c r="AR163" s="2">
        <v>8</v>
      </c>
      <c r="AS163" s="2">
        <v>15</v>
      </c>
      <c r="AT163" s="2">
        <v>5</v>
      </c>
      <c r="AU163" s="2">
        <v>7</v>
      </c>
      <c r="AV163" s="2">
        <v>15</v>
      </c>
      <c r="BA163" s="2">
        <f t="shared" si="17"/>
        <v>0</v>
      </c>
      <c r="BD163" s="10">
        <v>15</v>
      </c>
      <c r="BE163" s="2" t="b">
        <f t="shared" si="18"/>
        <v>0</v>
      </c>
      <c r="BF163" s="10">
        <v>15</v>
      </c>
      <c r="BG163" s="2" t="b">
        <f t="shared" si="13"/>
        <v>1</v>
      </c>
      <c r="BH163" s="10">
        <v>15</v>
      </c>
      <c r="BI163" s="2" t="b">
        <f t="shared" si="14"/>
        <v>1</v>
      </c>
      <c r="BJ163" s="10">
        <v>15</v>
      </c>
      <c r="BK163" s="2" t="b">
        <f t="shared" si="15"/>
        <v>1</v>
      </c>
    </row>
    <row r="164" spans="1:63" x14ac:dyDescent="0.2">
      <c r="A164" s="2" t="s">
        <v>575</v>
      </c>
      <c r="B164" s="5" t="s">
        <v>34</v>
      </c>
      <c r="C164" s="2">
        <v>0</v>
      </c>
      <c r="D164" s="5" t="s">
        <v>13</v>
      </c>
      <c r="E164" s="2">
        <v>0</v>
      </c>
      <c r="F164" s="5" t="s">
        <v>97</v>
      </c>
      <c r="G164" s="2">
        <v>0</v>
      </c>
      <c r="H164" s="5" t="s">
        <v>433</v>
      </c>
      <c r="I164" s="2">
        <v>0</v>
      </c>
      <c r="J164" s="5" t="s">
        <v>38</v>
      </c>
      <c r="K164" s="2">
        <v>0</v>
      </c>
      <c r="L164" s="5" t="s">
        <v>130</v>
      </c>
      <c r="M164" s="2">
        <v>0</v>
      </c>
      <c r="N164" s="5" t="s">
        <v>6</v>
      </c>
      <c r="O164" s="2">
        <v>0</v>
      </c>
      <c r="P164" s="5" t="s">
        <v>109</v>
      </c>
      <c r="Q164" s="2">
        <v>0</v>
      </c>
      <c r="AB164" s="4" t="s">
        <v>22</v>
      </c>
      <c r="AC164" s="2" t="b">
        <f t="shared" si="16"/>
        <v>0</v>
      </c>
      <c r="AE164" s="2">
        <f>(+C164+E164+I164+Q164)</f>
        <v>0</v>
      </c>
      <c r="AF164" s="2">
        <f>(+I164+K164+M164+Q164)</f>
        <v>0</v>
      </c>
      <c r="AG164" s="2">
        <f>(+C164+E164+G164+M164)</f>
        <v>0</v>
      </c>
      <c r="AH164" s="2">
        <f>(+C164+E164+G164+I164+M164+O164)</f>
        <v>0</v>
      </c>
      <c r="AI164" s="2">
        <f>(+C164+E164+Q164)</f>
        <v>0</v>
      </c>
      <c r="AJ164" s="2">
        <f>(+C164+G164+I164+M164+Q164)</f>
        <v>0</v>
      </c>
      <c r="AO164" s="4" t="s">
        <v>22</v>
      </c>
      <c r="AP164" s="2">
        <v>45</v>
      </c>
      <c r="AQ164" s="2">
        <v>48</v>
      </c>
      <c r="AR164" s="2">
        <v>50</v>
      </c>
      <c r="AS164" s="2">
        <v>57</v>
      </c>
      <c r="AT164" s="2">
        <v>42</v>
      </c>
      <c r="AU164" s="2">
        <v>57</v>
      </c>
      <c r="BA164" s="2">
        <f t="shared" si="17"/>
        <v>0</v>
      </c>
      <c r="BD164" s="10">
        <v>0</v>
      </c>
      <c r="BE164" s="2" t="b">
        <f t="shared" si="18"/>
        <v>0</v>
      </c>
      <c r="BF164" s="10">
        <v>0</v>
      </c>
      <c r="BG164" s="2" t="b">
        <f t="shared" si="13"/>
        <v>1</v>
      </c>
      <c r="BH164" s="10">
        <v>90</v>
      </c>
      <c r="BI164" s="2" t="b">
        <f t="shared" si="14"/>
        <v>0</v>
      </c>
      <c r="BJ164" s="10">
        <v>76</v>
      </c>
      <c r="BK164" s="2" t="b">
        <f t="shared" si="15"/>
        <v>0</v>
      </c>
    </row>
    <row r="165" spans="1:63" x14ac:dyDescent="0.2">
      <c r="A165" s="2" t="s">
        <v>576</v>
      </c>
      <c r="B165" s="5" t="s">
        <v>11</v>
      </c>
      <c r="C165" s="2">
        <v>0</v>
      </c>
      <c r="D165" s="5" t="s">
        <v>21</v>
      </c>
      <c r="E165" s="2">
        <v>0</v>
      </c>
      <c r="F165" s="5" t="s">
        <v>8</v>
      </c>
      <c r="G165" s="2">
        <v>0</v>
      </c>
      <c r="H165" s="5" t="s">
        <v>6</v>
      </c>
      <c r="I165" s="2">
        <v>0</v>
      </c>
      <c r="J165" s="5" t="s">
        <v>15</v>
      </c>
      <c r="K165" s="2">
        <v>0</v>
      </c>
      <c r="L165" s="5" t="s">
        <v>9</v>
      </c>
      <c r="M165" s="2">
        <v>0</v>
      </c>
      <c r="AB165" s="4" t="s">
        <v>22</v>
      </c>
      <c r="AC165" s="2" t="b">
        <f t="shared" si="16"/>
        <v>0</v>
      </c>
      <c r="AE165" s="2">
        <f>(+C165+K165)</f>
        <v>0</v>
      </c>
      <c r="AF165" s="2">
        <f>(+C165+E165+K165)</f>
        <v>0</v>
      </c>
      <c r="AG165" s="2">
        <f>(+E165+G165+K165+M165)</f>
        <v>0</v>
      </c>
      <c r="AH165" s="2">
        <f>(+I165+M165)</f>
        <v>0</v>
      </c>
      <c r="AO165" s="4" t="s">
        <v>22</v>
      </c>
      <c r="AP165" s="2">
        <v>17</v>
      </c>
      <c r="AQ165" s="2">
        <v>33</v>
      </c>
      <c r="AR165" s="2">
        <v>38</v>
      </c>
      <c r="AS165" s="2">
        <v>29</v>
      </c>
      <c r="BA165" s="2">
        <f t="shared" si="17"/>
        <v>0</v>
      </c>
      <c r="BD165" s="10">
        <v>62</v>
      </c>
      <c r="BE165" s="2" t="b">
        <f t="shared" si="18"/>
        <v>0</v>
      </c>
      <c r="BF165" s="10">
        <v>62</v>
      </c>
      <c r="BG165" s="2" t="b">
        <f t="shared" si="13"/>
        <v>1</v>
      </c>
      <c r="BH165" s="10">
        <v>62</v>
      </c>
      <c r="BI165" s="2" t="b">
        <f t="shared" si="14"/>
        <v>1</v>
      </c>
      <c r="BJ165" s="10">
        <v>62</v>
      </c>
      <c r="BK165" s="2" t="b">
        <f t="shared" si="15"/>
        <v>1</v>
      </c>
    </row>
    <row r="166" spans="1:63" x14ac:dyDescent="0.2">
      <c r="A166" s="2" t="s">
        <v>577</v>
      </c>
      <c r="B166" s="5" t="s">
        <v>21</v>
      </c>
      <c r="C166" s="2">
        <v>0</v>
      </c>
      <c r="D166" s="5" t="s">
        <v>39</v>
      </c>
      <c r="E166" s="2">
        <v>0</v>
      </c>
      <c r="F166" s="5" t="s">
        <v>118</v>
      </c>
      <c r="G166" s="2">
        <v>0</v>
      </c>
      <c r="H166" s="5" t="s">
        <v>130</v>
      </c>
      <c r="I166" s="2">
        <v>0</v>
      </c>
      <c r="J166" s="5" t="s">
        <v>109</v>
      </c>
      <c r="K166" s="2">
        <v>0</v>
      </c>
      <c r="L166" s="5" t="s">
        <v>56</v>
      </c>
      <c r="M166" s="2">
        <v>0</v>
      </c>
      <c r="N166" s="5" t="s">
        <v>97</v>
      </c>
      <c r="O166" s="2">
        <v>0</v>
      </c>
      <c r="AB166" s="4" t="s">
        <v>22</v>
      </c>
      <c r="AC166" s="2" t="b">
        <f t="shared" si="16"/>
        <v>0</v>
      </c>
      <c r="AE166" s="2">
        <f>(+E166+K166)</f>
        <v>0</v>
      </c>
      <c r="AF166" s="2">
        <f>(+C166+E166+G166+I166+K166)</f>
        <v>0</v>
      </c>
      <c r="AG166" s="2">
        <f>(+C166+I166+M166+O166)</f>
        <v>0</v>
      </c>
      <c r="AH166" s="2">
        <f>(+E166+G166+I166+O166)</f>
        <v>0</v>
      </c>
      <c r="AI166" s="2">
        <f>(+G166+K166)</f>
        <v>0</v>
      </c>
      <c r="AJ166" s="2">
        <f>(+I166+K166+M166+O166)</f>
        <v>0</v>
      </c>
      <c r="AO166" s="4" t="s">
        <v>22</v>
      </c>
      <c r="AP166" s="2">
        <v>27</v>
      </c>
      <c r="AQ166" s="2">
        <v>54</v>
      </c>
      <c r="AR166" s="2">
        <v>25</v>
      </c>
      <c r="AS166" s="2">
        <v>31</v>
      </c>
      <c r="AT166" s="2">
        <v>28</v>
      </c>
      <c r="AU166" s="2">
        <v>34</v>
      </c>
      <c r="BA166" s="2">
        <f t="shared" si="17"/>
        <v>0</v>
      </c>
      <c r="BD166" s="10">
        <v>61</v>
      </c>
      <c r="BE166" s="2" t="b">
        <f t="shared" si="18"/>
        <v>0</v>
      </c>
      <c r="BF166" s="10">
        <v>61</v>
      </c>
      <c r="BG166" s="2" t="b">
        <f t="shared" si="13"/>
        <v>1</v>
      </c>
      <c r="BH166" s="10">
        <v>61</v>
      </c>
      <c r="BI166" s="2" t="b">
        <f t="shared" si="14"/>
        <v>1</v>
      </c>
      <c r="BJ166" s="10">
        <v>61</v>
      </c>
      <c r="BK166" s="2" t="b">
        <f t="shared" si="15"/>
        <v>1</v>
      </c>
    </row>
    <row r="167" spans="1:63" x14ac:dyDescent="0.2">
      <c r="A167" s="2" t="s">
        <v>578</v>
      </c>
      <c r="B167" s="5" t="s">
        <v>579</v>
      </c>
      <c r="C167" s="2">
        <v>0</v>
      </c>
      <c r="D167" s="5" t="s">
        <v>158</v>
      </c>
      <c r="E167" s="2">
        <v>0</v>
      </c>
      <c r="F167" s="5" t="s">
        <v>248</v>
      </c>
      <c r="G167" s="2">
        <v>0</v>
      </c>
      <c r="H167" s="5" t="s">
        <v>541</v>
      </c>
      <c r="I167" s="2">
        <v>0</v>
      </c>
      <c r="J167" s="5" t="s">
        <v>160</v>
      </c>
      <c r="K167" s="2">
        <v>0</v>
      </c>
      <c r="L167" s="5" t="s">
        <v>56</v>
      </c>
      <c r="M167" s="2">
        <v>0</v>
      </c>
      <c r="N167" s="5" t="s">
        <v>580</v>
      </c>
      <c r="O167" s="2">
        <v>0</v>
      </c>
      <c r="AB167" s="4" t="s">
        <v>22</v>
      </c>
      <c r="AC167" s="2" t="b">
        <f t="shared" si="16"/>
        <v>0</v>
      </c>
      <c r="AE167" s="2">
        <f>(+E167+G167+K167+O167)</f>
        <v>0</v>
      </c>
      <c r="AF167" s="2">
        <f>(+E167+G167+O167)</f>
        <v>0</v>
      </c>
      <c r="AG167" s="2">
        <f>(+C167+G167+M167+O167)</f>
        <v>0</v>
      </c>
      <c r="AH167" s="2">
        <f>(+C167+E167+G167+O167)</f>
        <v>0</v>
      </c>
      <c r="AI167" s="2">
        <f>(+C167+G167+K167)</f>
        <v>0</v>
      </c>
      <c r="AJ167" s="2">
        <f>(+E167+K167+M167)</f>
        <v>0</v>
      </c>
      <c r="AK167" s="2">
        <f>(+G167+I167+O167)</f>
        <v>0</v>
      </c>
      <c r="AL167" s="2">
        <f>(+E167+G167+O167)</f>
        <v>0</v>
      </c>
      <c r="AM167" s="2">
        <f>(+C167+G167+I167+O167)</f>
        <v>0</v>
      </c>
      <c r="AO167" s="4" t="s">
        <v>22</v>
      </c>
      <c r="AP167" s="2">
        <v>47</v>
      </c>
      <c r="AQ167" s="2">
        <v>27</v>
      </c>
      <c r="AR167" s="2">
        <v>44</v>
      </c>
      <c r="AS167" s="2">
        <v>35</v>
      </c>
      <c r="AT167" s="2">
        <v>30</v>
      </c>
      <c r="AU167" s="2">
        <v>45</v>
      </c>
      <c r="AV167" s="2">
        <v>31</v>
      </c>
      <c r="AW167" s="2">
        <v>27</v>
      </c>
      <c r="AX167" s="2">
        <v>39</v>
      </c>
      <c r="BA167" s="2">
        <f t="shared" si="17"/>
        <v>0</v>
      </c>
      <c r="BD167" s="10">
        <v>0</v>
      </c>
      <c r="BE167" s="2" t="b">
        <f t="shared" si="18"/>
        <v>0</v>
      </c>
      <c r="BF167" s="10">
        <v>0</v>
      </c>
      <c r="BG167" s="2" t="b">
        <f t="shared" si="13"/>
        <v>1</v>
      </c>
      <c r="BH167" s="10">
        <v>84</v>
      </c>
      <c r="BI167" s="2" t="b">
        <f t="shared" si="14"/>
        <v>0</v>
      </c>
      <c r="BJ167" s="10">
        <v>84</v>
      </c>
      <c r="BK167" s="2" t="b">
        <f t="shared" si="15"/>
        <v>1</v>
      </c>
    </row>
    <row r="168" spans="1:63" x14ac:dyDescent="0.2">
      <c r="A168" s="2" t="s">
        <v>581</v>
      </c>
      <c r="B168" s="5" t="s">
        <v>160</v>
      </c>
      <c r="C168" s="2">
        <v>0</v>
      </c>
      <c r="D168" s="5" t="s">
        <v>8</v>
      </c>
      <c r="E168" s="2">
        <v>0</v>
      </c>
      <c r="F168" s="5" t="s">
        <v>18</v>
      </c>
      <c r="G168" s="2">
        <v>0</v>
      </c>
      <c r="H168" s="5" t="s">
        <v>25</v>
      </c>
      <c r="I168" s="2">
        <v>0</v>
      </c>
      <c r="J168" s="5" t="s">
        <v>230</v>
      </c>
      <c r="K168" s="2">
        <v>0</v>
      </c>
      <c r="L168" s="5" t="s">
        <v>243</v>
      </c>
      <c r="M168" s="2">
        <v>0</v>
      </c>
      <c r="N168" s="5" t="s">
        <v>30</v>
      </c>
      <c r="O168" s="2">
        <v>0</v>
      </c>
      <c r="P168" s="5" t="s">
        <v>116</v>
      </c>
      <c r="Q168" s="2">
        <v>0</v>
      </c>
      <c r="AB168" s="4" t="s">
        <v>22</v>
      </c>
      <c r="AC168" s="2" t="b">
        <f t="shared" si="16"/>
        <v>0</v>
      </c>
      <c r="AE168" s="2">
        <f>(+C168+G168+O168)</f>
        <v>0</v>
      </c>
      <c r="AF168" s="2">
        <f>(+G168+M168+O168+Q168)</f>
        <v>0</v>
      </c>
      <c r="AG168" s="2">
        <f>(+E168+G168+O168+Q168)</f>
        <v>0</v>
      </c>
      <c r="AH168" s="2">
        <f>(+G168+I168+K168+M168+Q168)</f>
        <v>0</v>
      </c>
      <c r="AI168" s="2">
        <f>(+C168+G168+I168+O168+Q168)</f>
        <v>0</v>
      </c>
      <c r="AJ168" s="2">
        <f>(+C168+M168+Q168)</f>
        <v>0</v>
      </c>
      <c r="AK168" s="2">
        <f>(+K168+M168+O168)</f>
        <v>0</v>
      </c>
      <c r="AO168" s="4" t="s">
        <v>22</v>
      </c>
      <c r="AP168" s="2">
        <v>45</v>
      </c>
      <c r="AQ168" s="2">
        <v>54</v>
      </c>
      <c r="AR168" s="2">
        <v>49</v>
      </c>
      <c r="AS168" s="2">
        <v>181</v>
      </c>
      <c r="AT168" s="2">
        <v>60</v>
      </c>
      <c r="AU168" s="2">
        <v>23</v>
      </c>
      <c r="AV168" s="2">
        <v>166</v>
      </c>
      <c r="BA168" s="2">
        <f t="shared" si="17"/>
        <v>0</v>
      </c>
      <c r="BD168" s="10">
        <v>0</v>
      </c>
      <c r="BE168" s="2" t="b">
        <f t="shared" si="18"/>
        <v>0</v>
      </c>
      <c r="BF168" s="10">
        <v>0</v>
      </c>
      <c r="BG168" s="2" t="b">
        <f t="shared" si="13"/>
        <v>1</v>
      </c>
      <c r="BH168" s="10">
        <v>0</v>
      </c>
      <c r="BI168" s="2" t="b">
        <f t="shared" si="14"/>
        <v>1</v>
      </c>
      <c r="BJ168" s="10">
        <v>207</v>
      </c>
      <c r="BK168" s="2" t="b">
        <f t="shared" si="15"/>
        <v>0</v>
      </c>
    </row>
    <row r="169" spans="1:63" x14ac:dyDescent="0.2">
      <c r="A169" s="2" t="s">
        <v>582</v>
      </c>
      <c r="B169" s="5" t="s">
        <v>137</v>
      </c>
      <c r="C169" s="2">
        <v>0</v>
      </c>
      <c r="D169" s="5" t="s">
        <v>583</v>
      </c>
      <c r="E169" s="2">
        <v>0</v>
      </c>
      <c r="F169" s="5" t="s">
        <v>330</v>
      </c>
      <c r="G169" s="2">
        <v>0</v>
      </c>
      <c r="H169" s="5" t="s">
        <v>48</v>
      </c>
      <c r="I169" s="2">
        <v>0</v>
      </c>
      <c r="J169" s="5" t="s">
        <v>510</v>
      </c>
      <c r="K169" s="2">
        <v>0</v>
      </c>
      <c r="L169" s="5" t="s">
        <v>584</v>
      </c>
      <c r="M169" s="2">
        <v>0</v>
      </c>
      <c r="N169" s="5" t="s">
        <v>116</v>
      </c>
      <c r="O169" s="2">
        <v>0</v>
      </c>
      <c r="P169" s="5" t="s">
        <v>257</v>
      </c>
      <c r="Q169" s="2">
        <v>0</v>
      </c>
      <c r="R169" s="5" t="s">
        <v>300</v>
      </c>
      <c r="S169" s="2">
        <v>0</v>
      </c>
      <c r="T169" s="5" t="s">
        <v>9</v>
      </c>
      <c r="U169" s="2">
        <v>0</v>
      </c>
      <c r="AB169" s="4" t="s">
        <v>22</v>
      </c>
      <c r="AC169" s="2" t="b">
        <f t="shared" si="16"/>
        <v>0</v>
      </c>
      <c r="AE169" s="2">
        <f>(+C169+E169+G169+K169+M169+Q169+S169)</f>
        <v>0</v>
      </c>
      <c r="AF169" s="2">
        <f>(+C169+K169+O169+Q169)</f>
        <v>0</v>
      </c>
      <c r="AG169" s="2">
        <f>(+C169+E169+O169+Q169+S169+U169)</f>
        <v>0</v>
      </c>
      <c r="AH169" s="2">
        <f>(+C169+I169+K169+O169+Q169+U169)</f>
        <v>0</v>
      </c>
      <c r="AI169" s="2">
        <f>(+C169+M169+O169+S169)</f>
        <v>0</v>
      </c>
      <c r="AJ169" s="2">
        <f>(+C169+E169+I169+K169+O169+S169)</f>
        <v>0</v>
      </c>
      <c r="AK169" s="2">
        <f>(+C169+K169+Q169+S169)</f>
        <v>0</v>
      </c>
      <c r="AL169" s="2">
        <f>(+G169+K169+M169+S169)</f>
        <v>0</v>
      </c>
      <c r="AM169" s="2">
        <f>(+E169+G169+K169+M169)</f>
        <v>0</v>
      </c>
      <c r="AO169" s="4" t="s">
        <v>22</v>
      </c>
      <c r="AP169" s="2">
        <v>241</v>
      </c>
      <c r="AQ169" s="2">
        <v>222</v>
      </c>
      <c r="AR169" s="2">
        <v>57</v>
      </c>
      <c r="AS169" s="2">
        <v>237</v>
      </c>
      <c r="AT169" s="2">
        <v>57</v>
      </c>
      <c r="AU169" s="2">
        <v>237</v>
      </c>
      <c r="AV169" s="2">
        <v>210</v>
      </c>
      <c r="AW169" s="2">
        <v>212</v>
      </c>
      <c r="AX169" s="2">
        <v>212</v>
      </c>
      <c r="BA169" s="2">
        <f t="shared" si="17"/>
        <v>0</v>
      </c>
      <c r="BD169" s="10">
        <v>0</v>
      </c>
      <c r="BE169" s="2" t="b">
        <f t="shared" si="18"/>
        <v>0</v>
      </c>
      <c r="BF169" s="10">
        <v>0</v>
      </c>
      <c r="BG169" s="2" t="b">
        <f t="shared" si="13"/>
        <v>1</v>
      </c>
      <c r="BH169" s="10">
        <v>0</v>
      </c>
      <c r="BI169" s="2" t="b">
        <f t="shared" si="14"/>
        <v>1</v>
      </c>
      <c r="BJ169" s="10">
        <v>272</v>
      </c>
      <c r="BK169" s="2" t="b">
        <f t="shared" si="15"/>
        <v>0</v>
      </c>
    </row>
    <row r="170" spans="1:63" x14ac:dyDescent="0.2">
      <c r="A170" s="2" t="s">
        <v>585</v>
      </c>
      <c r="B170" s="5" t="s">
        <v>291</v>
      </c>
      <c r="C170" s="2">
        <v>0</v>
      </c>
      <c r="D170" s="5" t="s">
        <v>280</v>
      </c>
      <c r="E170" s="2">
        <v>0</v>
      </c>
      <c r="F170" s="5" t="s">
        <v>586</v>
      </c>
      <c r="G170" s="2">
        <v>0</v>
      </c>
      <c r="H170" s="5" t="s">
        <v>499</v>
      </c>
      <c r="I170" s="2">
        <v>0</v>
      </c>
      <c r="J170" s="5" t="s">
        <v>181</v>
      </c>
      <c r="K170" s="2">
        <v>0</v>
      </c>
      <c r="L170" s="5" t="s">
        <v>92</v>
      </c>
      <c r="M170" s="2">
        <v>0</v>
      </c>
      <c r="N170" s="5" t="s">
        <v>587</v>
      </c>
      <c r="O170" s="2">
        <v>0</v>
      </c>
      <c r="AB170" s="4" t="s">
        <v>22</v>
      </c>
      <c r="AC170" s="2" t="b">
        <f t="shared" si="16"/>
        <v>0</v>
      </c>
      <c r="AE170" s="2">
        <f>(+C170+E170+I170+K170+M170+O170)</f>
        <v>0</v>
      </c>
      <c r="AF170" s="2">
        <f>(+E170+I170+K170+M170+O170)</f>
        <v>0</v>
      </c>
      <c r="AG170" s="2">
        <f>(+E170+G170+K170)</f>
        <v>0</v>
      </c>
      <c r="AH170" s="2">
        <f>(+E170+G170+I170+K170+M170+O170)</f>
        <v>0</v>
      </c>
      <c r="AI170" s="2">
        <f>(+C170+E170+G170+I170+O170)</f>
        <v>0</v>
      </c>
      <c r="AJ170" s="2">
        <f>(+C170+E170+G170+O170)</f>
        <v>0</v>
      </c>
      <c r="AK170" s="2">
        <f>(+G170+I170+K170+M170)</f>
        <v>0</v>
      </c>
      <c r="AL170" s="2">
        <f>(+C170+G170+K170+O170)</f>
        <v>0</v>
      </c>
      <c r="AO170" s="4" t="s">
        <v>22</v>
      </c>
      <c r="AP170" s="2">
        <v>50</v>
      </c>
      <c r="AQ170" s="2">
        <v>45</v>
      </c>
      <c r="AR170" s="2">
        <v>14</v>
      </c>
      <c r="AS170" s="2">
        <v>52</v>
      </c>
      <c r="AT170" s="2">
        <v>34</v>
      </c>
      <c r="AU170" s="2">
        <v>20</v>
      </c>
      <c r="AV170" s="2">
        <v>44</v>
      </c>
      <c r="AW170" s="2">
        <v>25</v>
      </c>
      <c r="BA170" s="2">
        <f t="shared" si="17"/>
        <v>0</v>
      </c>
      <c r="BD170" s="10">
        <v>0</v>
      </c>
      <c r="BE170" s="2" t="b">
        <f t="shared" si="18"/>
        <v>0</v>
      </c>
      <c r="BF170" s="10">
        <v>0</v>
      </c>
      <c r="BG170" s="2" t="b">
        <f t="shared" si="13"/>
        <v>1</v>
      </c>
      <c r="BH170" s="10">
        <v>57</v>
      </c>
      <c r="BI170" s="2" t="b">
        <f t="shared" si="14"/>
        <v>0</v>
      </c>
      <c r="BJ170" s="10">
        <v>57</v>
      </c>
      <c r="BK170" s="2" t="b">
        <f t="shared" si="15"/>
        <v>1</v>
      </c>
    </row>
    <row r="171" spans="1:63" x14ac:dyDescent="0.2">
      <c r="A171" s="2" t="s">
        <v>588</v>
      </c>
      <c r="B171" s="5" t="s">
        <v>589</v>
      </c>
      <c r="C171" s="2">
        <v>0</v>
      </c>
      <c r="D171" s="5" t="s">
        <v>180</v>
      </c>
      <c r="E171" s="2">
        <v>0</v>
      </c>
      <c r="F171" s="5" t="s">
        <v>494</v>
      </c>
      <c r="G171" s="2">
        <v>0</v>
      </c>
      <c r="H171" s="5" t="s">
        <v>291</v>
      </c>
      <c r="I171" s="2">
        <v>0</v>
      </c>
      <c r="J171" s="5" t="s">
        <v>255</v>
      </c>
      <c r="K171" s="2">
        <v>0</v>
      </c>
      <c r="L171" s="5" t="s">
        <v>70</v>
      </c>
      <c r="M171" s="2">
        <v>0</v>
      </c>
      <c r="N171" s="5" t="s">
        <v>378</v>
      </c>
      <c r="O171" s="2">
        <v>0</v>
      </c>
      <c r="P171" s="5" t="s">
        <v>278</v>
      </c>
      <c r="Q171" s="2">
        <v>0</v>
      </c>
      <c r="R171" s="5" t="s">
        <v>352</v>
      </c>
      <c r="S171" s="2">
        <v>0</v>
      </c>
      <c r="AB171" s="4" t="s">
        <v>22</v>
      </c>
      <c r="AC171" s="2" t="b">
        <f t="shared" si="16"/>
        <v>0</v>
      </c>
      <c r="AE171" s="2">
        <f>(+E171+G171+I171+M171)</f>
        <v>0</v>
      </c>
      <c r="AF171" s="2">
        <f>(+C171+G171+K171+M171+S171)</f>
        <v>0</v>
      </c>
      <c r="AG171" s="2">
        <f>(+C171+G171+M171+S171)</f>
        <v>0</v>
      </c>
      <c r="AH171" s="2">
        <f>(+E171+K171+M171)</f>
        <v>0</v>
      </c>
      <c r="AI171" s="2">
        <f>(+C171+E171+I171+M171+Q171)</f>
        <v>0</v>
      </c>
      <c r="AJ171" s="2">
        <f>(+C171+E171+I171+K171+M171)</f>
        <v>0</v>
      </c>
      <c r="AK171" s="2">
        <f>(+E171+G171+Q171)</f>
        <v>0</v>
      </c>
      <c r="AL171" s="2">
        <f>(+C171+E171+G171+I171+M171+O171+S171)</f>
        <v>0</v>
      </c>
      <c r="AM171" s="2">
        <f>(+G171+M171+O171)</f>
        <v>0</v>
      </c>
      <c r="AO171" s="4" t="s">
        <v>22</v>
      </c>
      <c r="AP171" s="2">
        <v>186</v>
      </c>
      <c r="AQ171" s="2">
        <v>204</v>
      </c>
      <c r="AR171" s="2">
        <v>192</v>
      </c>
      <c r="AS171" s="2">
        <v>23</v>
      </c>
      <c r="AT171" s="2">
        <v>31</v>
      </c>
      <c r="AU171" s="2">
        <v>28</v>
      </c>
      <c r="AV171" s="2">
        <v>188</v>
      </c>
      <c r="AW171" s="2">
        <v>194</v>
      </c>
      <c r="AX171" s="2">
        <v>184</v>
      </c>
      <c r="BA171" s="2">
        <f t="shared" si="17"/>
        <v>0</v>
      </c>
      <c r="BD171" s="10">
        <v>0</v>
      </c>
      <c r="BE171" s="2" t="b">
        <f t="shared" si="18"/>
        <v>0</v>
      </c>
      <c r="BF171" s="10">
        <v>0</v>
      </c>
      <c r="BG171" s="2" t="b">
        <f t="shared" si="13"/>
        <v>1</v>
      </c>
      <c r="BH171" s="10">
        <v>221</v>
      </c>
      <c r="BI171" s="2" t="b">
        <f t="shared" si="14"/>
        <v>0</v>
      </c>
      <c r="BJ171" s="10">
        <v>221</v>
      </c>
      <c r="BK171" s="2" t="b">
        <f t="shared" si="15"/>
        <v>1</v>
      </c>
    </row>
    <row r="172" spans="1:63" x14ac:dyDescent="0.2">
      <c r="A172" s="2" t="s">
        <v>590</v>
      </c>
      <c r="B172" s="5" t="s">
        <v>220</v>
      </c>
      <c r="C172" s="2">
        <v>0</v>
      </c>
      <c r="D172" s="5" t="s">
        <v>591</v>
      </c>
      <c r="E172" s="2">
        <v>0</v>
      </c>
      <c r="F172" s="5" t="s">
        <v>592</v>
      </c>
      <c r="G172" s="2">
        <v>0</v>
      </c>
      <c r="H172" s="5" t="s">
        <v>540</v>
      </c>
      <c r="I172" s="2">
        <v>0</v>
      </c>
      <c r="J172" s="5" t="s">
        <v>43</v>
      </c>
      <c r="K172" s="2">
        <v>0</v>
      </c>
      <c r="L172" s="5" t="s">
        <v>593</v>
      </c>
      <c r="M172" s="2">
        <v>0</v>
      </c>
      <c r="N172" s="5" t="s">
        <v>330</v>
      </c>
      <c r="O172" s="2">
        <v>0</v>
      </c>
      <c r="P172" s="5" t="s">
        <v>301</v>
      </c>
      <c r="Q172" s="2">
        <v>0</v>
      </c>
      <c r="R172" s="5" t="s">
        <v>594</v>
      </c>
      <c r="S172" s="2">
        <v>0</v>
      </c>
      <c r="T172" s="5" t="s">
        <v>354</v>
      </c>
      <c r="U172" s="2">
        <v>0</v>
      </c>
      <c r="V172" s="5" t="s">
        <v>113</v>
      </c>
      <c r="W172" s="2">
        <v>0</v>
      </c>
      <c r="AB172" s="4" t="s">
        <v>22</v>
      </c>
      <c r="AC172" s="2" t="b">
        <f t="shared" si="16"/>
        <v>0</v>
      </c>
      <c r="AE172" s="2">
        <f>(+C172+M172+O172+Q172)</f>
        <v>0</v>
      </c>
      <c r="AF172" s="2">
        <f>(+C172+E172+I172+M172+Q172+U172)</f>
        <v>0</v>
      </c>
      <c r="AG172" s="2">
        <f>(+C172+E172+G172+K172+S172+U172+W172)</f>
        <v>0</v>
      </c>
      <c r="AH172" s="2">
        <f>(+C172+M172)</f>
        <v>0</v>
      </c>
      <c r="AI172" s="2">
        <f>(+C172+E172+K172+M172+U172)</f>
        <v>0</v>
      </c>
      <c r="AJ172" s="2">
        <f>(+C172+K172+U172)</f>
        <v>0</v>
      </c>
      <c r="AK172" s="2">
        <f>(+E172+M172+S172+U172+W172)</f>
        <v>0</v>
      </c>
      <c r="AL172" s="2">
        <f>(+C172+E172+G172+O172+Q172+U172)</f>
        <v>0</v>
      </c>
      <c r="AM172" s="2">
        <f>(+I172+M172+O172+U172)</f>
        <v>0</v>
      </c>
      <c r="AN172" s="2">
        <f>(+C172+E172+G172+M172+S172+U172)</f>
        <v>0</v>
      </c>
      <c r="AO172" s="4" t="s">
        <v>22</v>
      </c>
      <c r="AP172" s="2">
        <v>38</v>
      </c>
      <c r="AQ172" s="2">
        <v>53</v>
      </c>
      <c r="AR172" s="2">
        <v>79</v>
      </c>
      <c r="AS172" s="2">
        <v>17</v>
      </c>
      <c r="AT172" s="2">
        <v>48</v>
      </c>
      <c r="AU172" s="2">
        <v>20</v>
      </c>
      <c r="AV172" s="2">
        <v>65</v>
      </c>
      <c r="AW172" s="2">
        <v>58</v>
      </c>
      <c r="AX172" s="2">
        <v>33</v>
      </c>
      <c r="AY172" s="2">
        <v>67</v>
      </c>
      <c r="BA172" s="2">
        <f t="shared" si="17"/>
        <v>0</v>
      </c>
      <c r="BD172" s="10">
        <v>114</v>
      </c>
      <c r="BE172" s="2" t="b">
        <f t="shared" si="18"/>
        <v>0</v>
      </c>
      <c r="BF172" s="10">
        <v>114</v>
      </c>
      <c r="BG172" s="2" t="b">
        <f t="shared" si="13"/>
        <v>1</v>
      </c>
      <c r="BH172" s="10">
        <v>114</v>
      </c>
      <c r="BI172" s="2" t="b">
        <f t="shared" si="14"/>
        <v>1</v>
      </c>
      <c r="BJ172" s="10">
        <v>114</v>
      </c>
      <c r="BK172" s="2" t="b">
        <f t="shared" si="15"/>
        <v>1</v>
      </c>
    </row>
    <row r="173" spans="1:63" x14ac:dyDescent="0.2">
      <c r="A173" s="2" t="s">
        <v>595</v>
      </c>
      <c r="B173" s="5" t="s">
        <v>152</v>
      </c>
      <c r="C173" s="2">
        <v>0</v>
      </c>
      <c r="D173" s="5" t="s">
        <v>39</v>
      </c>
      <c r="E173" s="2">
        <v>0</v>
      </c>
      <c r="F173" s="5" t="s">
        <v>10</v>
      </c>
      <c r="G173" s="2">
        <v>0</v>
      </c>
      <c r="H173" s="5" t="s">
        <v>21</v>
      </c>
      <c r="I173" s="2">
        <v>0</v>
      </c>
      <c r="AB173" s="4" t="s">
        <v>22</v>
      </c>
      <c r="AC173" s="2" t="b">
        <f t="shared" si="16"/>
        <v>0</v>
      </c>
      <c r="AE173" s="2">
        <f>(+C173+E173+G173)</f>
        <v>0</v>
      </c>
      <c r="AF173" s="2">
        <f>(+C173+E173+I173)</f>
        <v>0</v>
      </c>
      <c r="AG173" s="2">
        <f>(+C173+G173+I173)</f>
        <v>0</v>
      </c>
      <c r="AH173" s="2">
        <f>(+E173)</f>
        <v>0</v>
      </c>
      <c r="AI173" s="2">
        <f>(+C173)</f>
        <v>0</v>
      </c>
      <c r="AO173" s="4" t="s">
        <v>22</v>
      </c>
      <c r="AP173" s="2">
        <v>38</v>
      </c>
      <c r="AQ173" s="2">
        <v>47</v>
      </c>
      <c r="AR173" s="2">
        <v>32</v>
      </c>
      <c r="AS173" s="2">
        <v>18</v>
      </c>
      <c r="AT173" s="2">
        <v>17</v>
      </c>
      <c r="BA173" s="2">
        <f t="shared" si="17"/>
        <v>0</v>
      </c>
      <c r="BD173" s="10">
        <v>50</v>
      </c>
      <c r="BE173" s="2" t="b">
        <f t="shared" si="18"/>
        <v>0</v>
      </c>
      <c r="BF173" s="10">
        <v>50</v>
      </c>
      <c r="BG173" s="2" t="b">
        <f t="shared" si="13"/>
        <v>1</v>
      </c>
      <c r="BH173" s="10">
        <v>50</v>
      </c>
      <c r="BI173" s="2" t="b">
        <f t="shared" si="14"/>
        <v>1</v>
      </c>
      <c r="BJ173" s="10">
        <v>50</v>
      </c>
      <c r="BK173" s="2" t="b">
        <f t="shared" si="15"/>
        <v>1</v>
      </c>
    </row>
    <row r="174" spans="1:63" x14ac:dyDescent="0.2">
      <c r="A174" s="2" t="s">
        <v>596</v>
      </c>
      <c r="B174" s="5" t="s">
        <v>341</v>
      </c>
      <c r="C174" s="2">
        <v>0</v>
      </c>
      <c r="D174" s="5" t="s">
        <v>555</v>
      </c>
      <c r="E174" s="2">
        <v>0</v>
      </c>
      <c r="F174" s="5" t="s">
        <v>306</v>
      </c>
      <c r="G174" s="2">
        <v>0</v>
      </c>
      <c r="H174" s="5" t="s">
        <v>597</v>
      </c>
      <c r="I174" s="2">
        <v>0</v>
      </c>
      <c r="J174" s="5" t="s">
        <v>598</v>
      </c>
      <c r="K174" s="2">
        <v>0</v>
      </c>
      <c r="L174" s="5" t="s">
        <v>599</v>
      </c>
      <c r="M174" s="2">
        <v>0</v>
      </c>
      <c r="N174" s="5" t="s">
        <v>600</v>
      </c>
      <c r="O174" s="2">
        <v>0</v>
      </c>
      <c r="P174" s="5" t="s">
        <v>349</v>
      </c>
      <c r="Q174" s="2">
        <v>0</v>
      </c>
      <c r="R174" s="5" t="s">
        <v>484</v>
      </c>
      <c r="S174" s="2">
        <v>0</v>
      </c>
      <c r="T174" s="5" t="s">
        <v>601</v>
      </c>
      <c r="U174" s="2">
        <v>0</v>
      </c>
      <c r="V174" s="5" t="s">
        <v>602</v>
      </c>
      <c r="W174" s="2">
        <v>0</v>
      </c>
      <c r="X174" s="5" t="s">
        <v>603</v>
      </c>
      <c r="Y174" s="2">
        <v>0</v>
      </c>
      <c r="Z174" s="5" t="s">
        <v>604</v>
      </c>
      <c r="AA174" s="2">
        <v>0</v>
      </c>
      <c r="AB174" s="4" t="s">
        <v>22</v>
      </c>
      <c r="AC174" s="2" t="b">
        <f t="shared" si="16"/>
        <v>0</v>
      </c>
      <c r="AE174" s="2">
        <f>(+C174+G174+M174+O174)</f>
        <v>0</v>
      </c>
      <c r="AF174" s="2">
        <f>(+I174+M174+W174+Y174)</f>
        <v>0</v>
      </c>
      <c r="AG174" s="2">
        <f>(+C174+G174+I174+M174+O174+W174+AA174)</f>
        <v>0</v>
      </c>
      <c r="AH174" s="2">
        <f>(+E174+I174+K174+O174+S174+U174)</f>
        <v>0</v>
      </c>
      <c r="AI174" s="2">
        <f>(+G174+I174+K174+M174+O174+W174)</f>
        <v>0</v>
      </c>
      <c r="AJ174" s="2">
        <f>(+G174+I174+K174+O174+Q174+W174+AA174)</f>
        <v>0</v>
      </c>
      <c r="AK174" s="2">
        <f>(+G174+I174+M174+O174+W174)</f>
        <v>0</v>
      </c>
      <c r="AL174" s="2">
        <f>(+I174+K174+O174+U174+W174)</f>
        <v>0</v>
      </c>
      <c r="AM174" s="2">
        <f>(+C174+E174+K174+Q174+U174+W174+Y174+AA174)</f>
        <v>0</v>
      </c>
      <c r="AN174" s="2">
        <f>(+E174+I174+K174+M174+O174+S174+Y174)</f>
        <v>0</v>
      </c>
      <c r="AO174" s="4" t="s">
        <v>22</v>
      </c>
      <c r="AP174" s="2">
        <v>54</v>
      </c>
      <c r="AQ174" s="2">
        <v>44</v>
      </c>
      <c r="AR174" s="2">
        <v>88</v>
      </c>
      <c r="AS174" s="2">
        <v>56</v>
      </c>
      <c r="AT174" s="2">
        <v>71</v>
      </c>
      <c r="AU174" s="2">
        <v>81</v>
      </c>
      <c r="AV174" s="2">
        <v>56</v>
      </c>
      <c r="AW174" s="2">
        <v>55</v>
      </c>
      <c r="AX174" s="2">
        <v>88</v>
      </c>
      <c r="AY174" s="2">
        <v>71</v>
      </c>
      <c r="BA174" s="2">
        <f t="shared" si="17"/>
        <v>0</v>
      </c>
      <c r="BD174" s="10">
        <v>0</v>
      </c>
      <c r="BE174" s="2" t="b">
        <f t="shared" si="18"/>
        <v>0</v>
      </c>
      <c r="BF174" s="10">
        <v>0</v>
      </c>
      <c r="BG174" s="2" t="b">
        <f t="shared" si="13"/>
        <v>1</v>
      </c>
      <c r="BH174" s="10">
        <v>0</v>
      </c>
      <c r="BI174" s="2" t="b">
        <f t="shared" si="14"/>
        <v>1</v>
      </c>
      <c r="BJ174" s="10">
        <v>134</v>
      </c>
      <c r="BK174" s="2" t="b">
        <f t="shared" si="15"/>
        <v>0</v>
      </c>
    </row>
    <row r="175" spans="1:63" x14ac:dyDescent="0.2">
      <c r="A175" s="2" t="s">
        <v>605</v>
      </c>
      <c r="B175" s="5" t="s">
        <v>50</v>
      </c>
      <c r="C175" s="2">
        <v>0</v>
      </c>
      <c r="D175" s="5" t="s">
        <v>106</v>
      </c>
      <c r="E175" s="2">
        <v>0</v>
      </c>
      <c r="F175" s="5" t="s">
        <v>128</v>
      </c>
      <c r="G175" s="2">
        <v>0</v>
      </c>
      <c r="H175" s="5" t="s">
        <v>25</v>
      </c>
      <c r="I175" s="2">
        <v>0</v>
      </c>
      <c r="J175" s="5" t="s">
        <v>202</v>
      </c>
      <c r="K175" s="2">
        <v>0</v>
      </c>
      <c r="AB175" s="4" t="s">
        <v>22</v>
      </c>
      <c r="AC175" s="2" t="b">
        <f t="shared" si="16"/>
        <v>0</v>
      </c>
      <c r="AE175" s="2">
        <f>(+E175+G175)</f>
        <v>0</v>
      </c>
      <c r="AF175" s="2">
        <f>(+C175+G175+K175)</f>
        <v>0</v>
      </c>
      <c r="AG175" s="2">
        <f>(+C175+E175)</f>
        <v>0</v>
      </c>
      <c r="AH175" s="2">
        <f>(+C175+I175)</f>
        <v>0</v>
      </c>
      <c r="AI175" s="2">
        <f>(+E175+G175+I175+K175)</f>
        <v>0</v>
      </c>
      <c r="AO175" s="4" t="s">
        <v>22</v>
      </c>
      <c r="AP175" s="2">
        <v>106</v>
      </c>
      <c r="AQ175" s="2">
        <v>14</v>
      </c>
      <c r="AR175" s="2">
        <v>104</v>
      </c>
      <c r="AS175" s="2">
        <v>11</v>
      </c>
      <c r="AT175" s="2">
        <v>123</v>
      </c>
      <c r="BA175" s="2">
        <f t="shared" si="17"/>
        <v>0</v>
      </c>
      <c r="BD175" s="10">
        <v>0</v>
      </c>
      <c r="BE175" s="2" t="b">
        <f t="shared" si="18"/>
        <v>0</v>
      </c>
      <c r="BF175" s="10">
        <v>125</v>
      </c>
      <c r="BG175" s="2" t="b">
        <f t="shared" si="13"/>
        <v>0</v>
      </c>
      <c r="BH175" s="10">
        <v>125</v>
      </c>
      <c r="BI175" s="2" t="b">
        <f t="shared" si="14"/>
        <v>1</v>
      </c>
      <c r="BJ175" s="10">
        <v>125</v>
      </c>
      <c r="BK175" s="2" t="b">
        <f t="shared" si="15"/>
        <v>1</v>
      </c>
    </row>
    <row r="176" spans="1:63" x14ac:dyDescent="0.2">
      <c r="A176" s="2" t="s">
        <v>606</v>
      </c>
      <c r="B176" s="5" t="s">
        <v>39</v>
      </c>
      <c r="C176" s="2">
        <v>0</v>
      </c>
      <c r="D176" s="5" t="s">
        <v>42</v>
      </c>
      <c r="E176" s="2">
        <v>0</v>
      </c>
      <c r="F176" s="5" t="s">
        <v>122</v>
      </c>
      <c r="G176" s="2">
        <v>0</v>
      </c>
      <c r="H176" s="5" t="s">
        <v>149</v>
      </c>
      <c r="I176" s="2">
        <v>0</v>
      </c>
      <c r="J176" s="5" t="s">
        <v>171</v>
      </c>
      <c r="K176" s="2">
        <v>0</v>
      </c>
      <c r="AB176" s="4" t="s">
        <v>22</v>
      </c>
      <c r="AC176" s="2" t="b">
        <f t="shared" si="16"/>
        <v>0</v>
      </c>
      <c r="AE176" s="2">
        <f>(+C176+G176+K176)</f>
        <v>0</v>
      </c>
      <c r="AF176" s="2">
        <f>(+C176+E176+G176+K176)</f>
        <v>0</v>
      </c>
      <c r="AG176" s="2">
        <f>(+E176+G176+I176+K176)</f>
        <v>0</v>
      </c>
      <c r="AH176" s="2">
        <f>(+C176)</f>
        <v>0</v>
      </c>
      <c r="AI176" s="2">
        <f>(+E176+I176)</f>
        <v>0</v>
      </c>
      <c r="AJ176" s="2">
        <f>(+I176+K176)</f>
        <v>0</v>
      </c>
      <c r="AK176" s="2">
        <f>(+G176+I176)</f>
        <v>0</v>
      </c>
      <c r="AO176" s="4" t="s">
        <v>22</v>
      </c>
      <c r="AP176" s="2">
        <v>45</v>
      </c>
      <c r="AQ176" s="2">
        <v>51</v>
      </c>
      <c r="AR176" s="2">
        <v>57</v>
      </c>
      <c r="AS176" s="2">
        <v>10</v>
      </c>
      <c r="AT176" s="2">
        <v>22</v>
      </c>
      <c r="AU176" s="2">
        <v>31</v>
      </c>
      <c r="AV176" s="2">
        <v>36</v>
      </c>
      <c r="BA176" s="2">
        <f t="shared" si="17"/>
        <v>0</v>
      </c>
      <c r="BD176" s="10">
        <v>0</v>
      </c>
      <c r="BE176" s="2" t="b">
        <f t="shared" si="18"/>
        <v>0</v>
      </c>
      <c r="BF176" s="10">
        <v>67</v>
      </c>
      <c r="BG176" s="2" t="b">
        <f t="shared" si="13"/>
        <v>0</v>
      </c>
      <c r="BH176" s="10">
        <v>67</v>
      </c>
      <c r="BI176" s="2" t="b">
        <f t="shared" si="14"/>
        <v>1</v>
      </c>
      <c r="BJ176" s="10">
        <v>67</v>
      </c>
      <c r="BK176" s="2" t="b">
        <f t="shared" si="15"/>
        <v>1</v>
      </c>
    </row>
    <row r="177" spans="1:64" x14ac:dyDescent="0.2">
      <c r="A177" s="2" t="s">
        <v>607</v>
      </c>
      <c r="B177" s="5" t="s">
        <v>242</v>
      </c>
      <c r="C177" s="2">
        <v>0</v>
      </c>
      <c r="D177" s="5" t="s">
        <v>19</v>
      </c>
      <c r="E177" s="2">
        <v>0</v>
      </c>
      <c r="F177" s="5" t="s">
        <v>196</v>
      </c>
      <c r="G177" s="2">
        <v>0</v>
      </c>
      <c r="H177" s="5" t="s">
        <v>262</v>
      </c>
      <c r="I177" s="2">
        <v>0</v>
      </c>
      <c r="J177" s="5" t="s">
        <v>608</v>
      </c>
      <c r="K177" s="2">
        <v>0</v>
      </c>
      <c r="L177" s="5" t="s">
        <v>456</v>
      </c>
      <c r="M177" s="2">
        <v>0</v>
      </c>
      <c r="N177" s="5" t="s">
        <v>345</v>
      </c>
      <c r="O177" s="2">
        <v>0</v>
      </c>
      <c r="P177" s="5" t="s">
        <v>39</v>
      </c>
      <c r="Q177" s="2">
        <v>0</v>
      </c>
      <c r="R177" s="5" t="s">
        <v>609</v>
      </c>
      <c r="S177" s="2">
        <v>0</v>
      </c>
      <c r="T177" s="5" t="s">
        <v>78</v>
      </c>
      <c r="U177" s="2">
        <v>0</v>
      </c>
      <c r="V177" s="5" t="s">
        <v>489</v>
      </c>
      <c r="W177" s="2">
        <v>0</v>
      </c>
      <c r="AB177" s="4" t="s">
        <v>22</v>
      </c>
      <c r="AC177" s="2" t="b">
        <f t="shared" si="16"/>
        <v>0</v>
      </c>
      <c r="AE177" s="2">
        <f>(+E177+G177+M177+O177+Q177+S177)</f>
        <v>0</v>
      </c>
      <c r="AF177" s="2">
        <f>(+K177+M177+O177+Q177+S177)</f>
        <v>0</v>
      </c>
      <c r="AG177" s="2">
        <f>(+C177+I177+M177+S177+U177)</f>
        <v>0</v>
      </c>
      <c r="AH177" s="2">
        <f>(+E177+G177+M177+Q177+S177+W177)</f>
        <v>0</v>
      </c>
      <c r="AI177" s="2">
        <f>(+E177+K177+S177+U177+W177)</f>
        <v>0</v>
      </c>
      <c r="AJ177" s="2">
        <f>(+C177+K177+M177+S177+W177)</f>
        <v>0</v>
      </c>
      <c r="AK177" s="2">
        <f>(+C177+G177+K177+M177+S177+U177)</f>
        <v>0</v>
      </c>
      <c r="AL177" s="2">
        <f>(+C177+I177+U177+W177)</f>
        <v>0</v>
      </c>
      <c r="AM177" s="2">
        <f>(+K177+M177+S177+W177)</f>
        <v>0</v>
      </c>
      <c r="AN177" s="2">
        <f>(+K177+M177+O177)</f>
        <v>0</v>
      </c>
      <c r="AO177" s="4" t="s">
        <v>22</v>
      </c>
      <c r="AP177" s="2">
        <v>77</v>
      </c>
      <c r="AQ177" s="2">
        <v>54</v>
      </c>
      <c r="AR177" s="2">
        <v>43</v>
      </c>
      <c r="AS177" s="2">
        <v>206</v>
      </c>
      <c r="AT177" s="2">
        <v>165</v>
      </c>
      <c r="AU177" s="2">
        <v>178</v>
      </c>
      <c r="AV177" s="2">
        <v>57</v>
      </c>
      <c r="AW177" s="2">
        <v>163</v>
      </c>
      <c r="AX177" s="2">
        <v>165</v>
      </c>
      <c r="AY177" s="2">
        <v>33</v>
      </c>
      <c r="BA177" s="2">
        <f t="shared" si="17"/>
        <v>0</v>
      </c>
      <c r="BD177" s="10">
        <v>0</v>
      </c>
      <c r="BE177" s="2" t="b">
        <f t="shared" si="18"/>
        <v>0</v>
      </c>
      <c r="BF177" s="10">
        <v>0</v>
      </c>
      <c r="BG177" s="2" t="b">
        <f t="shared" si="13"/>
        <v>1</v>
      </c>
      <c r="BH177" s="10">
        <v>241</v>
      </c>
      <c r="BI177" s="2" t="b">
        <f t="shared" si="14"/>
        <v>0</v>
      </c>
      <c r="BJ177" s="10">
        <v>241</v>
      </c>
      <c r="BK177" s="2" t="b">
        <f t="shared" si="15"/>
        <v>1</v>
      </c>
    </row>
    <row r="178" spans="1:64" x14ac:dyDescent="0.2">
      <c r="A178" s="2" t="s">
        <v>610</v>
      </c>
      <c r="B178" s="5" t="s">
        <v>7</v>
      </c>
      <c r="C178" s="2">
        <v>0</v>
      </c>
      <c r="D178" s="5" t="s">
        <v>8</v>
      </c>
      <c r="E178" s="2">
        <v>0</v>
      </c>
      <c r="F178" s="5" t="s">
        <v>83</v>
      </c>
      <c r="G178" s="2">
        <v>0</v>
      </c>
      <c r="H178" s="5" t="s">
        <v>611</v>
      </c>
      <c r="I178" s="2">
        <v>0</v>
      </c>
      <c r="J178" s="5" t="s">
        <v>612</v>
      </c>
      <c r="K178" s="2">
        <v>0</v>
      </c>
      <c r="L178" s="5" t="s">
        <v>613</v>
      </c>
      <c r="M178" s="2">
        <v>0</v>
      </c>
      <c r="N178" s="5" t="s">
        <v>614</v>
      </c>
      <c r="O178" s="2">
        <v>0</v>
      </c>
      <c r="P178" s="5" t="s">
        <v>615</v>
      </c>
      <c r="Q178" s="2">
        <v>0</v>
      </c>
      <c r="R178" s="5" t="s">
        <v>24</v>
      </c>
      <c r="S178" s="2">
        <v>0</v>
      </c>
      <c r="T178" s="5" t="s">
        <v>413</v>
      </c>
      <c r="U178" s="2">
        <v>0</v>
      </c>
      <c r="V178" s="5" t="s">
        <v>44</v>
      </c>
      <c r="W178" s="2">
        <v>0</v>
      </c>
      <c r="AB178" s="4" t="s">
        <v>22</v>
      </c>
      <c r="AC178" s="2" t="b">
        <f t="shared" si="16"/>
        <v>0</v>
      </c>
      <c r="AE178" s="2">
        <f>(+M178+O178)</f>
        <v>0</v>
      </c>
      <c r="AF178" s="2">
        <f>(+C178+Q178+U178)</f>
        <v>0</v>
      </c>
      <c r="AG178" s="2">
        <f>(+E178+I178+K178+S178+U178)</f>
        <v>0</v>
      </c>
      <c r="AH178" s="2">
        <f>(+C178+G178+I178+K178+M178+O178+U178)</f>
        <v>0</v>
      </c>
      <c r="AI178" s="2">
        <f>(+K178+M178+O178+Q178+S178+U178+W178)</f>
        <v>0</v>
      </c>
      <c r="AJ178" s="2">
        <f>(+G178+K178+U178+W178)</f>
        <v>0</v>
      </c>
      <c r="AK178" s="2">
        <f>(+G178+I178+K178+M178+U178)</f>
        <v>0</v>
      </c>
      <c r="AL178" s="2">
        <f>(+I178+M178+O178+Q178)</f>
        <v>0</v>
      </c>
      <c r="AM178" s="2">
        <f>(+K178+M178+Q178+U178)</f>
        <v>0</v>
      </c>
      <c r="AO178" s="4" t="s">
        <v>22</v>
      </c>
      <c r="AP178" s="2">
        <v>19</v>
      </c>
      <c r="AQ178" s="2">
        <v>40</v>
      </c>
      <c r="AR178" s="2">
        <v>74</v>
      </c>
      <c r="AS178" s="2">
        <v>82</v>
      </c>
      <c r="AT178" s="2">
        <v>96</v>
      </c>
      <c r="AU178" s="2">
        <v>52</v>
      </c>
      <c r="AV178" s="2">
        <v>59</v>
      </c>
      <c r="AW178" s="2">
        <v>54</v>
      </c>
      <c r="AX178" s="2">
        <v>56</v>
      </c>
      <c r="BA178" s="2">
        <f t="shared" si="17"/>
        <v>0</v>
      </c>
      <c r="BD178" s="10">
        <v>125</v>
      </c>
      <c r="BE178" s="2" t="b">
        <f t="shared" si="18"/>
        <v>0</v>
      </c>
      <c r="BF178" s="10">
        <v>125</v>
      </c>
      <c r="BG178" s="2" t="b">
        <f t="shared" si="13"/>
        <v>1</v>
      </c>
      <c r="BH178" s="10">
        <v>125</v>
      </c>
      <c r="BI178" s="2" t="b">
        <f t="shared" si="14"/>
        <v>1</v>
      </c>
      <c r="BJ178" s="10">
        <v>125</v>
      </c>
      <c r="BK178" s="2" t="b">
        <f t="shared" si="15"/>
        <v>1</v>
      </c>
    </row>
    <row r="179" spans="1:64" x14ac:dyDescent="0.2">
      <c r="A179" s="2" t="s">
        <v>616</v>
      </c>
      <c r="B179" s="5" t="s">
        <v>617</v>
      </c>
      <c r="C179" s="2">
        <v>0</v>
      </c>
      <c r="D179" s="5" t="s">
        <v>14</v>
      </c>
      <c r="E179" s="2">
        <v>0</v>
      </c>
      <c r="F179" s="5" t="s">
        <v>280</v>
      </c>
      <c r="G179" s="2">
        <v>0</v>
      </c>
      <c r="H179" s="5" t="s">
        <v>42</v>
      </c>
      <c r="I179" s="2">
        <v>0</v>
      </c>
      <c r="J179" s="5" t="s">
        <v>54</v>
      </c>
      <c r="K179" s="2">
        <v>0</v>
      </c>
      <c r="AB179" s="4" t="s">
        <v>22</v>
      </c>
      <c r="AC179" s="2" t="b">
        <f t="shared" si="16"/>
        <v>0</v>
      </c>
      <c r="AE179" s="2">
        <f>(+C179+E179+G179)</f>
        <v>0</v>
      </c>
      <c r="AF179" s="2">
        <f>(+G179+I179+K179)</f>
        <v>0</v>
      </c>
      <c r="AG179" s="2">
        <f>(+G179+I179+K179)</f>
        <v>0</v>
      </c>
      <c r="AH179" s="2">
        <f>(+C179+G179+K179)</f>
        <v>0</v>
      </c>
      <c r="AI179" s="2">
        <f>(+C179+E179+G179+I179)</f>
        <v>0</v>
      </c>
      <c r="AJ179" s="2">
        <f>(+G179+K179)</f>
        <v>0</v>
      </c>
      <c r="AK179" s="2">
        <f>(+C179+K179)</f>
        <v>0</v>
      </c>
      <c r="AO179" s="4" t="s">
        <v>22</v>
      </c>
      <c r="AP179" s="2">
        <v>24</v>
      </c>
      <c r="AQ179" s="2">
        <v>17</v>
      </c>
      <c r="AR179" s="2">
        <v>17</v>
      </c>
      <c r="AS179" s="2">
        <v>16</v>
      </c>
      <c r="AT179" s="2">
        <v>25</v>
      </c>
      <c r="AU179" s="2">
        <v>16</v>
      </c>
      <c r="AV179" s="2">
        <v>1</v>
      </c>
      <c r="BA179" s="2">
        <f t="shared" si="17"/>
        <v>0</v>
      </c>
      <c r="BD179" s="10">
        <v>0</v>
      </c>
      <c r="BE179" s="2" t="b">
        <f t="shared" si="18"/>
        <v>0</v>
      </c>
      <c r="BF179" s="10">
        <v>26</v>
      </c>
      <c r="BG179" s="2" t="b">
        <f t="shared" si="13"/>
        <v>0</v>
      </c>
      <c r="BH179" s="10">
        <v>26</v>
      </c>
      <c r="BI179" s="2" t="b">
        <f t="shared" si="14"/>
        <v>1</v>
      </c>
      <c r="BJ179" s="10">
        <v>26</v>
      </c>
      <c r="BK179" s="2" t="b">
        <f t="shared" si="15"/>
        <v>1</v>
      </c>
    </row>
    <row r="180" spans="1:64" x14ac:dyDescent="0.2">
      <c r="A180" s="2" t="s">
        <v>618</v>
      </c>
      <c r="B180" s="5" t="s">
        <v>228</v>
      </c>
      <c r="C180" s="2">
        <v>0</v>
      </c>
      <c r="D180" s="5" t="s">
        <v>619</v>
      </c>
      <c r="E180" s="2">
        <v>0</v>
      </c>
      <c r="F180" s="5" t="s">
        <v>190</v>
      </c>
      <c r="G180" s="2">
        <v>0</v>
      </c>
      <c r="H180" s="5" t="s">
        <v>134</v>
      </c>
      <c r="I180" s="2">
        <v>0</v>
      </c>
      <c r="J180" s="5" t="s">
        <v>57</v>
      </c>
      <c r="K180" s="2">
        <v>0</v>
      </c>
      <c r="L180" s="5" t="s">
        <v>222</v>
      </c>
      <c r="M180" s="2">
        <v>0</v>
      </c>
      <c r="N180" s="5" t="s">
        <v>620</v>
      </c>
      <c r="O180" s="2">
        <v>0</v>
      </c>
      <c r="P180" s="5" t="s">
        <v>621</v>
      </c>
      <c r="Q180" s="2">
        <v>0</v>
      </c>
      <c r="R180" s="5" t="s">
        <v>622</v>
      </c>
      <c r="S180" s="2">
        <v>0</v>
      </c>
      <c r="T180" s="5" t="s">
        <v>520</v>
      </c>
      <c r="U180" s="2">
        <v>0</v>
      </c>
      <c r="V180" s="5" t="s">
        <v>233</v>
      </c>
      <c r="W180" s="2">
        <v>0</v>
      </c>
      <c r="AB180" s="4" t="s">
        <v>22</v>
      </c>
      <c r="AC180" s="2" t="b">
        <f t="shared" si="16"/>
        <v>0</v>
      </c>
      <c r="AE180" s="2">
        <f>(+G180+M180+S180+U180+W180)</f>
        <v>0</v>
      </c>
      <c r="AF180" s="2">
        <f>(+E180+G180+K180+M180+Q180+W180)</f>
        <v>0</v>
      </c>
      <c r="AG180" s="2">
        <f>(+E180+I180+K180+M180+O180+Q180+S180+U180)</f>
        <v>0</v>
      </c>
      <c r="AH180" s="2">
        <f>(+E180+G180+M180+Q180+S180+U180+W180)</f>
        <v>0</v>
      </c>
      <c r="AI180" s="2">
        <f>(+C180+G180+M180+O180+S180+U180+W180)</f>
        <v>0</v>
      </c>
      <c r="AJ180" s="2">
        <f>(+E180+I180+M180+Q180)</f>
        <v>0</v>
      </c>
      <c r="AK180" s="2">
        <f>(+I180+K180+U180+W180)</f>
        <v>0</v>
      </c>
      <c r="AL180" s="2">
        <f>(+C180+G180+O180+Q180+S180+U180+W180)</f>
        <v>0</v>
      </c>
      <c r="AM180" s="2">
        <f>(+E180+M180+O180+Q180+S180+U180+W180)</f>
        <v>0</v>
      </c>
      <c r="AO180" s="4" t="s">
        <v>22</v>
      </c>
      <c r="AP180" s="2">
        <v>38</v>
      </c>
      <c r="AQ180" s="2">
        <v>28</v>
      </c>
      <c r="AR180" s="2">
        <v>51</v>
      </c>
      <c r="AS180" s="2">
        <v>39</v>
      </c>
      <c r="AT180" s="2">
        <v>61</v>
      </c>
      <c r="AU180" s="2">
        <v>18</v>
      </c>
      <c r="AV180" s="2">
        <v>27</v>
      </c>
      <c r="AW180" s="2">
        <v>48</v>
      </c>
      <c r="AX180" s="2">
        <v>42</v>
      </c>
      <c r="BA180" s="2">
        <f t="shared" si="17"/>
        <v>0</v>
      </c>
      <c r="BD180" s="10">
        <v>0</v>
      </c>
      <c r="BE180" s="2" t="b">
        <f t="shared" si="18"/>
        <v>0</v>
      </c>
      <c r="BF180" s="10">
        <v>0</v>
      </c>
      <c r="BG180" s="2" t="b">
        <f t="shared" si="13"/>
        <v>1</v>
      </c>
      <c r="BH180" s="10">
        <v>0</v>
      </c>
      <c r="BI180" s="2" t="b">
        <f t="shared" si="14"/>
        <v>1</v>
      </c>
      <c r="BJ180" s="10">
        <v>72</v>
      </c>
      <c r="BK180" s="2" t="b">
        <f t="shared" si="15"/>
        <v>0</v>
      </c>
    </row>
    <row r="181" spans="1:64" x14ac:dyDescent="0.2">
      <c r="A181" s="2" t="s">
        <v>623</v>
      </c>
      <c r="B181" s="5" t="s">
        <v>404</v>
      </c>
      <c r="C181" s="2">
        <v>0</v>
      </c>
      <c r="D181" s="5" t="s">
        <v>341</v>
      </c>
      <c r="E181" s="2">
        <v>0</v>
      </c>
      <c r="F181" s="5" t="s">
        <v>624</v>
      </c>
      <c r="G181" s="2">
        <v>0</v>
      </c>
      <c r="H181" s="5" t="s">
        <v>58</v>
      </c>
      <c r="I181" s="2">
        <v>0</v>
      </c>
      <c r="J181" s="5" t="s">
        <v>625</v>
      </c>
      <c r="K181" s="2">
        <v>0</v>
      </c>
      <c r="L181" s="5" t="s">
        <v>626</v>
      </c>
      <c r="M181" s="2">
        <v>0</v>
      </c>
      <c r="N181" s="5" t="s">
        <v>627</v>
      </c>
      <c r="O181" s="2">
        <v>0</v>
      </c>
      <c r="P181" s="5" t="s">
        <v>628</v>
      </c>
      <c r="Q181" s="2">
        <v>0</v>
      </c>
      <c r="R181" s="5" t="s">
        <v>629</v>
      </c>
      <c r="S181" s="2">
        <v>0</v>
      </c>
      <c r="AB181" s="4" t="s">
        <v>22</v>
      </c>
      <c r="AC181" s="2" t="b">
        <f t="shared" si="16"/>
        <v>0</v>
      </c>
      <c r="AE181" s="2">
        <f>(+E181+G181+K181+M181+Q181)</f>
        <v>0</v>
      </c>
      <c r="AF181" s="2">
        <f>(+G181+K181+M181+Q181+S181)</f>
        <v>0</v>
      </c>
      <c r="AG181" s="2">
        <f>(+E181+I181+M181+O181+Q181)</f>
        <v>0</v>
      </c>
      <c r="AH181" s="2">
        <f>(+C181+G181+I181+K181+S181)</f>
        <v>0</v>
      </c>
      <c r="AI181" s="2">
        <f>(+C181+G181+I181+K181+M181+O181)</f>
        <v>0</v>
      </c>
      <c r="AJ181" s="2">
        <f>(+G181+I181+K181+Q181+S181)</f>
        <v>0</v>
      </c>
      <c r="AK181" s="2">
        <f>(+C181+G181+K181+O181+S181)</f>
        <v>0</v>
      </c>
      <c r="AL181" s="2">
        <f>(+G181+K181+M181)</f>
        <v>0</v>
      </c>
      <c r="AM181" s="2">
        <f>(+E181+M181+S181)</f>
        <v>0</v>
      </c>
      <c r="AN181" s="2">
        <f>(+K181+M181+O181+Q181+S181)</f>
        <v>0</v>
      </c>
      <c r="AO181" s="4" t="s">
        <v>22</v>
      </c>
      <c r="AP181" s="2">
        <v>28</v>
      </c>
      <c r="AQ181" s="2">
        <v>36</v>
      </c>
      <c r="AR181" s="2">
        <v>36</v>
      </c>
      <c r="AS181" s="2">
        <v>32</v>
      </c>
      <c r="AT181" s="2">
        <v>24</v>
      </c>
      <c r="AU181" s="2">
        <v>40</v>
      </c>
      <c r="AV181" s="2">
        <v>35</v>
      </c>
      <c r="AW181" s="2">
        <v>6</v>
      </c>
      <c r="AX181" s="2">
        <v>27</v>
      </c>
      <c r="AY181" s="2">
        <v>43</v>
      </c>
      <c r="BA181" s="2">
        <f t="shared" si="17"/>
        <v>0</v>
      </c>
      <c r="BD181" s="10">
        <v>0</v>
      </c>
      <c r="BE181" s="2" t="b">
        <f t="shared" si="18"/>
        <v>0</v>
      </c>
      <c r="BF181" s="10">
        <v>0</v>
      </c>
      <c r="BG181" s="2" t="b">
        <f t="shared" si="13"/>
        <v>1</v>
      </c>
      <c r="BH181" s="10">
        <v>63</v>
      </c>
      <c r="BI181" s="2" t="b">
        <f t="shared" si="14"/>
        <v>0</v>
      </c>
      <c r="BJ181" s="10">
        <v>63</v>
      </c>
      <c r="BK181" s="2" t="b">
        <f t="shared" si="15"/>
        <v>1</v>
      </c>
    </row>
    <row r="182" spans="1:64" s="6" customFormat="1" x14ac:dyDescent="0.2">
      <c r="A182" s="6" t="s">
        <v>630</v>
      </c>
      <c r="B182" s="7" t="s">
        <v>8</v>
      </c>
      <c r="C182" s="6">
        <v>12</v>
      </c>
      <c r="D182" s="7" t="s">
        <v>9</v>
      </c>
      <c r="E182" s="6">
        <v>5</v>
      </c>
      <c r="F182" s="7" t="s">
        <v>38</v>
      </c>
      <c r="G182" s="6">
        <v>3</v>
      </c>
      <c r="H182" s="7" t="s">
        <v>39</v>
      </c>
      <c r="I182" s="6">
        <v>16</v>
      </c>
      <c r="J182" s="7"/>
      <c r="L182" s="7"/>
      <c r="N182" s="7"/>
      <c r="P182" s="7"/>
      <c r="R182" s="7"/>
      <c r="T182" s="7"/>
      <c r="V182" s="7"/>
      <c r="X182" s="7"/>
      <c r="Z182" s="7"/>
      <c r="AB182" s="6" t="s">
        <v>22</v>
      </c>
      <c r="AC182" s="6" t="b">
        <f t="shared" si="16"/>
        <v>1</v>
      </c>
      <c r="AE182" s="6">
        <f>(+I182)</f>
        <v>16</v>
      </c>
      <c r="AF182" s="6">
        <f>(+G182+I182)</f>
        <v>19</v>
      </c>
      <c r="AG182" s="6">
        <f>(+C182+E182)</f>
        <v>17</v>
      </c>
      <c r="AH182" s="6">
        <f>(+E182+I182)</f>
        <v>21</v>
      </c>
      <c r="AO182" s="6" t="s">
        <v>22</v>
      </c>
      <c r="AP182" s="6">
        <v>16</v>
      </c>
      <c r="AQ182" s="6">
        <v>19</v>
      </c>
      <c r="AR182" s="6">
        <v>17</v>
      </c>
      <c r="AS182" s="6">
        <v>21</v>
      </c>
      <c r="BA182" s="6">
        <f t="shared" si="17"/>
        <v>36</v>
      </c>
      <c r="BB182" s="2"/>
      <c r="BC182" s="2"/>
      <c r="BD182" s="10">
        <v>36</v>
      </c>
      <c r="BE182" s="2" t="b">
        <f t="shared" si="18"/>
        <v>1</v>
      </c>
      <c r="BF182" s="10">
        <v>36</v>
      </c>
      <c r="BG182" s="2" t="b">
        <f t="shared" si="13"/>
        <v>1</v>
      </c>
      <c r="BH182" s="10">
        <v>36</v>
      </c>
      <c r="BI182" s="2" t="b">
        <f t="shared" si="14"/>
        <v>1</v>
      </c>
      <c r="BJ182" s="10">
        <v>36</v>
      </c>
      <c r="BK182" s="2" t="b">
        <f t="shared" si="15"/>
        <v>1</v>
      </c>
      <c r="BL182" s="2"/>
    </row>
    <row r="183" spans="1:64" s="8" customFormat="1" x14ac:dyDescent="0.2">
      <c r="A183" s="8" t="s">
        <v>631</v>
      </c>
      <c r="B183" s="9" t="s">
        <v>9</v>
      </c>
      <c r="C183" s="8">
        <v>8</v>
      </c>
      <c r="D183" s="9" t="s">
        <v>50</v>
      </c>
      <c r="E183" s="8">
        <v>12</v>
      </c>
      <c r="F183" s="9" t="s">
        <v>15</v>
      </c>
      <c r="G183" s="8">
        <v>1</v>
      </c>
      <c r="H183" s="9" t="s">
        <v>11</v>
      </c>
      <c r="I183" s="8">
        <v>173</v>
      </c>
      <c r="J183" s="9"/>
      <c r="L183" s="9"/>
      <c r="N183" s="9"/>
      <c r="P183" s="9"/>
      <c r="R183" s="9"/>
      <c r="T183" s="9"/>
      <c r="V183" s="9"/>
      <c r="X183" s="9"/>
      <c r="Z183" s="9"/>
      <c r="AB183" s="8" t="s">
        <v>22</v>
      </c>
      <c r="AC183" s="8" t="b">
        <f t="shared" si="16"/>
        <v>1</v>
      </c>
      <c r="AE183" s="8">
        <f>(+G183+I183)</f>
        <v>174</v>
      </c>
      <c r="AF183" s="8">
        <f>(+E183+G183+I183)</f>
        <v>186</v>
      </c>
      <c r="AG183" s="8">
        <f>(+C183+E183+G183)</f>
        <v>21</v>
      </c>
      <c r="AH183" s="8">
        <f>(+C183+E183)</f>
        <v>20</v>
      </c>
      <c r="AO183" s="8" t="s">
        <v>22</v>
      </c>
      <c r="AP183" s="8">
        <v>174</v>
      </c>
      <c r="AQ183" s="8">
        <v>186</v>
      </c>
      <c r="AR183" s="8">
        <v>21</v>
      </c>
      <c r="AS183" s="8">
        <v>20</v>
      </c>
      <c r="BA183" s="8">
        <f t="shared" si="17"/>
        <v>194</v>
      </c>
      <c r="BB183" s="2"/>
      <c r="BC183" s="2"/>
      <c r="BD183" s="10">
        <v>194</v>
      </c>
      <c r="BE183" s="2" t="b">
        <f t="shared" si="18"/>
        <v>1</v>
      </c>
      <c r="BF183" s="10">
        <v>194</v>
      </c>
      <c r="BG183" s="2" t="b">
        <f t="shared" si="13"/>
        <v>1</v>
      </c>
      <c r="BH183" s="10">
        <v>194</v>
      </c>
      <c r="BI183" s="2" t="b">
        <f t="shared" si="14"/>
        <v>1</v>
      </c>
      <c r="BJ183" s="10">
        <v>194</v>
      </c>
      <c r="BK183" s="2" t="b">
        <f t="shared" si="15"/>
        <v>1</v>
      </c>
      <c r="BL183" s="2"/>
    </row>
    <row r="184" spans="1:64" s="6" customFormat="1" x14ac:dyDescent="0.2">
      <c r="A184" s="6" t="s">
        <v>632</v>
      </c>
      <c r="B184" s="7" t="s">
        <v>47</v>
      </c>
      <c r="C184" s="6">
        <v>0</v>
      </c>
      <c r="D184" s="7" t="s">
        <v>50</v>
      </c>
      <c r="E184" s="6">
        <v>18</v>
      </c>
      <c r="F184" s="7" t="s">
        <v>9</v>
      </c>
      <c r="G184" s="6">
        <v>0</v>
      </c>
      <c r="H184" s="7" t="s">
        <v>253</v>
      </c>
      <c r="I184" s="6">
        <v>6</v>
      </c>
      <c r="J184" s="7" t="s">
        <v>40</v>
      </c>
      <c r="K184" s="6">
        <v>10</v>
      </c>
      <c r="L184" s="7" t="s">
        <v>38</v>
      </c>
      <c r="M184" s="6">
        <v>0</v>
      </c>
      <c r="N184" s="7"/>
      <c r="P184" s="7"/>
      <c r="R184" s="7"/>
      <c r="T184" s="7"/>
      <c r="V184" s="7"/>
      <c r="X184" s="7"/>
      <c r="Z184" s="7"/>
      <c r="AB184" s="6" t="s">
        <v>22</v>
      </c>
      <c r="AC184" s="6" t="b">
        <f t="shared" si="16"/>
        <v>1</v>
      </c>
      <c r="AE184" s="6">
        <f>(+C184+I184+K184)</f>
        <v>16</v>
      </c>
      <c r="AF184" s="6">
        <f>(+E184+M184)</f>
        <v>18</v>
      </c>
      <c r="AG184" s="6">
        <f>(+E184+G184+K184)</f>
        <v>28</v>
      </c>
      <c r="AH184" s="6">
        <f>(+C184+E184+G184+K184)</f>
        <v>28</v>
      </c>
      <c r="AO184" s="6" t="s">
        <v>22</v>
      </c>
      <c r="AP184" s="6">
        <v>16</v>
      </c>
      <c r="AQ184" s="6">
        <v>18</v>
      </c>
      <c r="AR184" s="6">
        <v>28</v>
      </c>
      <c r="AS184" s="6">
        <v>28</v>
      </c>
      <c r="BA184" s="6">
        <f t="shared" si="17"/>
        <v>34</v>
      </c>
      <c r="BB184" s="2"/>
      <c r="BC184" s="2"/>
      <c r="BD184" s="10">
        <v>34</v>
      </c>
      <c r="BE184" s="2" t="b">
        <f t="shared" si="18"/>
        <v>1</v>
      </c>
      <c r="BF184" s="10">
        <v>34</v>
      </c>
      <c r="BG184" s="2" t="b">
        <f t="shared" si="13"/>
        <v>1</v>
      </c>
      <c r="BH184" s="10">
        <v>34</v>
      </c>
      <c r="BI184" s="2" t="b">
        <f t="shared" si="14"/>
        <v>1</v>
      </c>
      <c r="BJ184" s="10">
        <v>34</v>
      </c>
      <c r="BK184" s="2" t="b">
        <f t="shared" si="15"/>
        <v>1</v>
      </c>
      <c r="BL184" s="2"/>
    </row>
    <row r="185" spans="1:64" x14ac:dyDescent="0.2">
      <c r="A185" s="2" t="s">
        <v>633</v>
      </c>
      <c r="B185" s="5" t="s">
        <v>87</v>
      </c>
      <c r="C185" s="2">
        <v>0</v>
      </c>
      <c r="D185" s="5" t="s">
        <v>143</v>
      </c>
      <c r="E185" s="2">
        <v>0</v>
      </c>
      <c r="F185" s="5" t="s">
        <v>634</v>
      </c>
      <c r="G185" s="2">
        <v>0</v>
      </c>
      <c r="H185" s="5" t="s">
        <v>540</v>
      </c>
      <c r="I185" s="2">
        <v>0</v>
      </c>
      <c r="J185" s="5" t="s">
        <v>635</v>
      </c>
      <c r="K185" s="2">
        <v>0</v>
      </c>
      <c r="L185" s="5" t="s">
        <v>15</v>
      </c>
      <c r="M185" s="2">
        <v>0</v>
      </c>
      <c r="N185" s="5" t="s">
        <v>63</v>
      </c>
      <c r="O185" s="2">
        <v>0</v>
      </c>
      <c r="P185" s="5" t="s">
        <v>119</v>
      </c>
      <c r="Q185" s="2">
        <v>0</v>
      </c>
      <c r="R185" s="5" t="s">
        <v>118</v>
      </c>
      <c r="S185" s="2">
        <v>0</v>
      </c>
      <c r="AB185" s="4" t="s">
        <v>22</v>
      </c>
      <c r="AC185" s="2" t="b">
        <f t="shared" si="16"/>
        <v>0</v>
      </c>
      <c r="AE185" s="2">
        <f>(+E185+G185+M185+O185)</f>
        <v>0</v>
      </c>
      <c r="AF185" s="2">
        <f>(+C185+I185+K185+M185+S185)</f>
        <v>0</v>
      </c>
      <c r="AG185" s="2">
        <f>(+E185+M185+O185)</f>
        <v>0</v>
      </c>
      <c r="AH185" s="2">
        <f>(+C185+E185+G185+Q185+S185)</f>
        <v>0</v>
      </c>
      <c r="AI185" s="2">
        <f>(+E185+K185+O185+Q185+S185)</f>
        <v>0</v>
      </c>
      <c r="AJ185" s="2">
        <f>(+G185+K185+Q185)</f>
        <v>0</v>
      </c>
      <c r="AK185" s="2">
        <f>(+C185+E185+K185+O185)</f>
        <v>0</v>
      </c>
      <c r="AL185" s="2">
        <f>(+E185+G185+K185+O185)</f>
        <v>0</v>
      </c>
      <c r="AM185" s="2">
        <f>(+G185+I185+O185)</f>
        <v>0</v>
      </c>
      <c r="AO185" s="4" t="s">
        <v>22</v>
      </c>
      <c r="AP185" s="2">
        <v>39</v>
      </c>
      <c r="AQ185" s="2">
        <v>59</v>
      </c>
      <c r="AR185" s="2">
        <v>20</v>
      </c>
      <c r="AS185" s="2">
        <v>48</v>
      </c>
      <c r="AT185" s="2">
        <v>34</v>
      </c>
      <c r="AU185" s="2">
        <v>30</v>
      </c>
      <c r="AV185" s="2">
        <v>17</v>
      </c>
      <c r="AW185" s="2">
        <v>31</v>
      </c>
      <c r="AX185" s="2">
        <v>44</v>
      </c>
      <c r="BA185" s="2">
        <f t="shared" si="17"/>
        <v>0</v>
      </c>
      <c r="BD185" s="10">
        <v>0</v>
      </c>
      <c r="BE185" s="2" t="b">
        <f t="shared" si="18"/>
        <v>0</v>
      </c>
      <c r="BF185" s="10">
        <v>0</v>
      </c>
      <c r="BG185" s="2" t="b">
        <f t="shared" si="13"/>
        <v>1</v>
      </c>
      <c r="BH185" s="10">
        <v>91</v>
      </c>
      <c r="BI185" s="2" t="b">
        <f t="shared" si="14"/>
        <v>0</v>
      </c>
      <c r="BJ185" s="10">
        <v>91</v>
      </c>
      <c r="BK185" s="2" t="b">
        <f t="shared" si="15"/>
        <v>1</v>
      </c>
    </row>
    <row r="186" spans="1:64" x14ac:dyDescent="0.2">
      <c r="A186" s="2" t="s">
        <v>636</v>
      </c>
      <c r="B186" s="5" t="s">
        <v>637</v>
      </c>
      <c r="C186" s="2">
        <v>0</v>
      </c>
      <c r="D186" s="5" t="s">
        <v>52</v>
      </c>
      <c r="E186" s="2">
        <v>0</v>
      </c>
      <c r="F186" s="5" t="s">
        <v>638</v>
      </c>
      <c r="G186" s="2">
        <v>0</v>
      </c>
      <c r="H186" s="5" t="s">
        <v>639</v>
      </c>
      <c r="I186" s="2">
        <v>0</v>
      </c>
      <c r="J186" s="5" t="s">
        <v>640</v>
      </c>
      <c r="K186" s="2">
        <v>0</v>
      </c>
      <c r="L186" s="5" t="s">
        <v>641</v>
      </c>
      <c r="M186" s="2">
        <v>0</v>
      </c>
      <c r="N186" s="5" t="s">
        <v>642</v>
      </c>
      <c r="O186" s="2">
        <v>0</v>
      </c>
      <c r="P186" s="5" t="s">
        <v>202</v>
      </c>
      <c r="Q186" s="2">
        <v>0</v>
      </c>
      <c r="R186" s="5" t="s">
        <v>383</v>
      </c>
      <c r="S186" s="2">
        <v>0</v>
      </c>
      <c r="T186" s="5" t="s">
        <v>643</v>
      </c>
      <c r="U186" s="2">
        <v>0</v>
      </c>
      <c r="AB186" s="4" t="s">
        <v>22</v>
      </c>
      <c r="AC186" s="2" t="b">
        <f t="shared" si="16"/>
        <v>0</v>
      </c>
      <c r="AE186" s="2">
        <f>(+M186+O186+S186)</f>
        <v>0</v>
      </c>
      <c r="AF186" s="2">
        <f>(+C186+G186+K186+Q186+U186)</f>
        <v>0</v>
      </c>
      <c r="AG186" s="2">
        <f>(+C186+I186+U186)</f>
        <v>0</v>
      </c>
      <c r="AH186" s="2">
        <f>(+C186+K186+M186+O186)</f>
        <v>0</v>
      </c>
      <c r="AI186" s="2">
        <f>(+E186+K186+O186+Q186+U186)</f>
        <v>0</v>
      </c>
      <c r="AJ186" s="2">
        <f>(+C186+G186+I186+O186)</f>
        <v>0</v>
      </c>
      <c r="AK186" s="2">
        <f>(+C186+G186+I186+O186+U186)</f>
        <v>0</v>
      </c>
      <c r="AL186" s="2">
        <f>(+O186+S186)</f>
        <v>0</v>
      </c>
      <c r="AM186" s="2">
        <f>(+C186+I186+K186+M186+O186)</f>
        <v>0</v>
      </c>
      <c r="AN186" s="2">
        <f>(+G186+I186+O186+U186)</f>
        <v>0</v>
      </c>
      <c r="AO186" s="4" t="s">
        <v>22</v>
      </c>
      <c r="AP186" s="2">
        <v>11</v>
      </c>
      <c r="AQ186" s="2">
        <v>213</v>
      </c>
      <c r="AR186" s="2">
        <v>12</v>
      </c>
      <c r="AS186" s="2">
        <v>33</v>
      </c>
      <c r="AT186" s="2">
        <v>230</v>
      </c>
      <c r="AU186" s="2">
        <v>26</v>
      </c>
      <c r="AV186" s="2">
        <v>27</v>
      </c>
      <c r="AW186" s="2">
        <v>11</v>
      </c>
      <c r="AX186" s="2">
        <v>40</v>
      </c>
      <c r="AY186" s="2">
        <v>23</v>
      </c>
      <c r="BA186" s="2">
        <f t="shared" si="17"/>
        <v>0</v>
      </c>
      <c r="BD186" s="10">
        <v>245</v>
      </c>
      <c r="BE186" s="2" t="b">
        <f t="shared" si="18"/>
        <v>0</v>
      </c>
      <c r="BF186" s="10">
        <v>245</v>
      </c>
      <c r="BG186" s="2" t="b">
        <f t="shared" si="13"/>
        <v>1</v>
      </c>
      <c r="BH186" s="10">
        <v>245</v>
      </c>
      <c r="BI186" s="2" t="b">
        <f t="shared" si="14"/>
        <v>1</v>
      </c>
      <c r="BJ186" s="10">
        <v>245</v>
      </c>
      <c r="BK186" s="2" t="b">
        <f t="shared" si="15"/>
        <v>1</v>
      </c>
    </row>
    <row r="187" spans="1:64" x14ac:dyDescent="0.2">
      <c r="A187" s="2" t="s">
        <v>644</v>
      </c>
      <c r="B187" s="5" t="s">
        <v>645</v>
      </c>
      <c r="C187" s="2">
        <v>0</v>
      </c>
      <c r="D187" s="5" t="s">
        <v>634</v>
      </c>
      <c r="E187" s="2">
        <v>0</v>
      </c>
      <c r="F187" s="5" t="s">
        <v>646</v>
      </c>
      <c r="G187" s="2">
        <v>0</v>
      </c>
      <c r="H187" s="5" t="s">
        <v>647</v>
      </c>
      <c r="I187" s="2">
        <v>0</v>
      </c>
      <c r="J187" s="5" t="s">
        <v>30</v>
      </c>
      <c r="K187" s="2">
        <v>0</v>
      </c>
      <c r="L187" s="5" t="s">
        <v>269</v>
      </c>
      <c r="M187" s="2">
        <v>0</v>
      </c>
      <c r="N187" s="5" t="s">
        <v>291</v>
      </c>
      <c r="O187" s="2">
        <v>0</v>
      </c>
      <c r="AB187" s="4" t="s">
        <v>22</v>
      </c>
      <c r="AC187" s="2" t="b">
        <f t="shared" si="16"/>
        <v>0</v>
      </c>
      <c r="AE187" s="2">
        <f>(+E187+G187+K187+O187)</f>
        <v>0</v>
      </c>
      <c r="AF187" s="2">
        <f>(+I187+K187+M187)</f>
        <v>0</v>
      </c>
      <c r="AG187" s="2">
        <f>(+C187+G187+K187)</f>
        <v>0</v>
      </c>
      <c r="AH187" s="2">
        <f>(+E187+G187+M187)</f>
        <v>0</v>
      </c>
      <c r="AI187" s="2">
        <f>(+I187+K187+M187+O187)</f>
        <v>0</v>
      </c>
      <c r="AJ187" s="2">
        <f>(+C187+E187+G187+I187+O187)</f>
        <v>0</v>
      </c>
      <c r="AK187" s="2">
        <f>(+C187+K187+M187)</f>
        <v>0</v>
      </c>
      <c r="AL187" s="2">
        <f>(+C187+E187+G187+I187+M187+O187)</f>
        <v>0</v>
      </c>
      <c r="AM187" s="2">
        <f>(+C187+E187+G187+I187+M187)</f>
        <v>0</v>
      </c>
      <c r="AO187" s="4" t="s">
        <v>22</v>
      </c>
      <c r="AP187" s="2">
        <v>43</v>
      </c>
      <c r="AQ187" s="2">
        <v>26</v>
      </c>
      <c r="AR187" s="2">
        <v>39</v>
      </c>
      <c r="AS187" s="2">
        <v>19</v>
      </c>
      <c r="AT187" s="2">
        <v>39</v>
      </c>
      <c r="AU187" s="2">
        <v>47</v>
      </c>
      <c r="AV187" s="2">
        <v>36</v>
      </c>
      <c r="AW187" s="2">
        <v>52</v>
      </c>
      <c r="AX187" s="2">
        <v>39</v>
      </c>
      <c r="BA187" s="2">
        <f t="shared" si="17"/>
        <v>0</v>
      </c>
      <c r="BD187" s="10">
        <v>0</v>
      </c>
      <c r="BE187" s="2" t="b">
        <f t="shared" si="18"/>
        <v>0</v>
      </c>
      <c r="BF187" s="10">
        <v>0</v>
      </c>
      <c r="BG187" s="2" t="b">
        <f t="shared" si="13"/>
        <v>1</v>
      </c>
      <c r="BH187" s="10">
        <v>68</v>
      </c>
      <c r="BI187" s="2" t="b">
        <f t="shared" si="14"/>
        <v>0</v>
      </c>
      <c r="BJ187" s="10">
        <v>68</v>
      </c>
      <c r="BK187" s="2" t="b">
        <f t="shared" si="15"/>
        <v>1</v>
      </c>
    </row>
    <row r="188" spans="1:64" x14ac:dyDescent="0.2">
      <c r="A188" s="2" t="s">
        <v>648</v>
      </c>
      <c r="B188" s="5" t="s">
        <v>7</v>
      </c>
      <c r="C188" s="2">
        <v>0</v>
      </c>
      <c r="D188" s="5" t="s">
        <v>303</v>
      </c>
      <c r="E188" s="2">
        <v>0</v>
      </c>
      <c r="F188" s="5" t="s">
        <v>296</v>
      </c>
      <c r="G188" s="2">
        <v>0</v>
      </c>
      <c r="H188" s="5" t="s">
        <v>237</v>
      </c>
      <c r="I188" s="2">
        <v>0</v>
      </c>
      <c r="J188" s="5" t="s">
        <v>114</v>
      </c>
      <c r="K188" s="2">
        <v>0</v>
      </c>
      <c r="L188" s="5" t="s">
        <v>34</v>
      </c>
      <c r="M188" s="2">
        <v>0</v>
      </c>
      <c r="N188" s="5" t="s">
        <v>196</v>
      </c>
      <c r="O188" s="2">
        <v>0</v>
      </c>
      <c r="AB188" s="4" t="s">
        <v>22</v>
      </c>
      <c r="AC188" s="2" t="b">
        <f t="shared" si="16"/>
        <v>0</v>
      </c>
      <c r="AE188" s="2">
        <f>(+E188+G188+K188+M188+O188)</f>
        <v>0</v>
      </c>
      <c r="AF188" s="2">
        <f>(+C188+K188)</f>
        <v>0</v>
      </c>
      <c r="AG188" s="2">
        <f>(+E188+K188+M188)</f>
        <v>0</v>
      </c>
      <c r="AH188" s="2">
        <f>(+C188+G188+K188+M188+O188)</f>
        <v>0</v>
      </c>
      <c r="AI188" s="2">
        <f>(+I188+M188)</f>
        <v>0</v>
      </c>
      <c r="AJ188" s="2">
        <f>(+G188+I188+K188+M188)</f>
        <v>0</v>
      </c>
      <c r="AK188" s="2">
        <f>(+E188+G188+I188+O188)</f>
        <v>0</v>
      </c>
      <c r="AO188" s="4" t="s">
        <v>22</v>
      </c>
      <c r="AP188" s="2">
        <v>184</v>
      </c>
      <c r="AQ188" s="2">
        <v>38</v>
      </c>
      <c r="AR188" s="2">
        <v>30</v>
      </c>
      <c r="AS188" s="2">
        <v>194</v>
      </c>
      <c r="AT188" s="2">
        <v>18</v>
      </c>
      <c r="AU188" s="2">
        <v>43</v>
      </c>
      <c r="AV188" s="2">
        <v>178</v>
      </c>
      <c r="BA188" s="2">
        <f t="shared" si="17"/>
        <v>0</v>
      </c>
      <c r="BD188" s="10">
        <v>218</v>
      </c>
      <c r="BE188" s="2" t="b">
        <f t="shared" si="18"/>
        <v>0</v>
      </c>
      <c r="BF188" s="10">
        <v>218</v>
      </c>
      <c r="BG188" s="2" t="b">
        <f t="shared" si="13"/>
        <v>1</v>
      </c>
      <c r="BH188" s="10">
        <v>218</v>
      </c>
      <c r="BI188" s="2" t="b">
        <f t="shared" si="14"/>
        <v>1</v>
      </c>
      <c r="BJ188" s="10">
        <v>218</v>
      </c>
      <c r="BK188" s="2" t="b">
        <f t="shared" si="15"/>
        <v>1</v>
      </c>
    </row>
    <row r="189" spans="1:64" x14ac:dyDescent="0.2">
      <c r="A189" s="2" t="s">
        <v>649</v>
      </c>
      <c r="B189" s="5" t="s">
        <v>39</v>
      </c>
      <c r="C189" s="2">
        <v>0</v>
      </c>
      <c r="D189" s="5" t="s">
        <v>15</v>
      </c>
      <c r="E189" s="2">
        <v>0</v>
      </c>
      <c r="F189" s="5" t="s">
        <v>21</v>
      </c>
      <c r="G189" s="2">
        <v>0</v>
      </c>
      <c r="H189" s="5" t="s">
        <v>6</v>
      </c>
      <c r="I189" s="2">
        <v>0</v>
      </c>
      <c r="J189" s="5" t="s">
        <v>202</v>
      </c>
      <c r="K189" s="2">
        <v>0</v>
      </c>
      <c r="AB189" s="4" t="s">
        <v>22</v>
      </c>
      <c r="AC189" s="2" t="b">
        <f t="shared" si="16"/>
        <v>0</v>
      </c>
      <c r="AE189" s="2">
        <f>(+C189+E189)</f>
        <v>0</v>
      </c>
      <c r="AF189" s="2">
        <f>(+C189+E189+G189+K189)</f>
        <v>0</v>
      </c>
      <c r="AG189" s="2">
        <f>(+E189+G189)</f>
        <v>0</v>
      </c>
      <c r="AH189" s="2">
        <f>(+C189+I189)</f>
        <v>0</v>
      </c>
      <c r="AI189" s="2">
        <f>(+K189)</f>
        <v>0</v>
      </c>
      <c r="AO189" s="4" t="s">
        <v>22</v>
      </c>
      <c r="AP189" s="2">
        <v>23</v>
      </c>
      <c r="AQ189" s="2">
        <v>46</v>
      </c>
      <c r="AR189" s="2">
        <v>16</v>
      </c>
      <c r="AS189" s="2">
        <v>23</v>
      </c>
      <c r="AT189" s="2">
        <v>19</v>
      </c>
      <c r="BA189" s="2">
        <f t="shared" si="17"/>
        <v>0</v>
      </c>
      <c r="BD189" s="10">
        <v>0</v>
      </c>
      <c r="BE189" s="2" t="b">
        <f t="shared" si="18"/>
        <v>0</v>
      </c>
      <c r="BF189" s="10">
        <v>58</v>
      </c>
      <c r="BG189" s="2" t="b">
        <f t="shared" si="13"/>
        <v>0</v>
      </c>
      <c r="BH189" s="10">
        <v>58</v>
      </c>
      <c r="BI189" s="2" t="b">
        <f t="shared" si="14"/>
        <v>1</v>
      </c>
      <c r="BJ189" s="10">
        <v>58</v>
      </c>
      <c r="BK189" s="2" t="b">
        <f t="shared" si="15"/>
        <v>1</v>
      </c>
    </row>
    <row r="190" spans="1:64" x14ac:dyDescent="0.2">
      <c r="A190" s="2" t="s">
        <v>650</v>
      </c>
      <c r="B190" s="5" t="s">
        <v>651</v>
      </c>
      <c r="C190" s="2">
        <v>0</v>
      </c>
      <c r="D190" s="5" t="s">
        <v>536</v>
      </c>
      <c r="E190" s="2">
        <v>0</v>
      </c>
      <c r="F190" s="5" t="s">
        <v>652</v>
      </c>
      <c r="G190" s="2">
        <v>0</v>
      </c>
      <c r="H190" s="5" t="s">
        <v>423</v>
      </c>
      <c r="I190" s="2">
        <v>0</v>
      </c>
      <c r="J190" s="5" t="s">
        <v>489</v>
      </c>
      <c r="K190" s="2">
        <v>0</v>
      </c>
      <c r="L190" s="5" t="s">
        <v>131</v>
      </c>
      <c r="M190" s="2">
        <v>0</v>
      </c>
      <c r="N190" s="5" t="s">
        <v>653</v>
      </c>
      <c r="O190" s="2">
        <v>0</v>
      </c>
      <c r="P190" s="5" t="s">
        <v>654</v>
      </c>
      <c r="Q190" s="2">
        <v>0</v>
      </c>
      <c r="R190" s="5" t="s">
        <v>655</v>
      </c>
      <c r="S190" s="2">
        <v>0</v>
      </c>
      <c r="T190" s="5" t="s">
        <v>656</v>
      </c>
      <c r="U190" s="2">
        <v>29</v>
      </c>
      <c r="V190" s="5" t="s">
        <v>657</v>
      </c>
      <c r="W190" s="2">
        <v>0</v>
      </c>
      <c r="X190" s="5" t="s">
        <v>142</v>
      </c>
      <c r="Y190" s="2">
        <v>0</v>
      </c>
      <c r="Z190" s="5" t="s">
        <v>658</v>
      </c>
      <c r="AA190" s="2">
        <v>0</v>
      </c>
      <c r="AB190" s="4" t="s">
        <v>22</v>
      </c>
      <c r="AC190" s="2" t="b">
        <f t="shared" si="16"/>
        <v>0</v>
      </c>
      <c r="AE190" s="2">
        <f>(+E190+G190+U190+Y190+AA190)</f>
        <v>29</v>
      </c>
      <c r="AF190" s="2">
        <f>(+C190+E190+G190+M190+O190+Q190+U190+Y190)</f>
        <v>29</v>
      </c>
      <c r="AG190" s="2">
        <f>(+C190+E190+G190+M190+O190+Q190+W190+Y190)</f>
        <v>0</v>
      </c>
      <c r="AH190" s="2">
        <f>(+E190+K190+U190+W190+AA190)</f>
        <v>29</v>
      </c>
      <c r="AI190" s="2">
        <f>(+C190+E190+K190+U190+W190+Y190)</f>
        <v>29</v>
      </c>
      <c r="AJ190" s="2">
        <f>(+G190+I190+K190+M190+O190+Q190+S190+U190+W190+Y190)</f>
        <v>29</v>
      </c>
      <c r="AK190" s="2">
        <f>(+C190+O190+Q190+S190+W190+Y190)</f>
        <v>0</v>
      </c>
      <c r="AL190" s="2">
        <f>(+C190+G190+K190+Q190+U190+Y190)</f>
        <v>29</v>
      </c>
      <c r="AM190" s="2">
        <f>(+C190+E190+G190+K190+Q190+S190+U190+W190+Y190)</f>
        <v>29</v>
      </c>
      <c r="AN190" s="2">
        <f>(+G190+O190+Q190+S190+U190+W190+AA190)</f>
        <v>29</v>
      </c>
      <c r="AO190" s="4" t="s">
        <v>22</v>
      </c>
      <c r="AP190" s="2">
        <v>29</v>
      </c>
      <c r="AQ190" s="2">
        <v>69</v>
      </c>
      <c r="AR190" s="2">
        <v>76</v>
      </c>
      <c r="AS190" s="2">
        <v>47</v>
      </c>
      <c r="AT190" s="2">
        <v>68</v>
      </c>
      <c r="AU190" s="2">
        <v>245</v>
      </c>
      <c r="AV190" s="2">
        <v>70</v>
      </c>
      <c r="AW190" s="2">
        <v>62</v>
      </c>
      <c r="AX190" s="2">
        <v>94</v>
      </c>
      <c r="AY190" s="2">
        <v>55</v>
      </c>
      <c r="BA190" s="2">
        <f t="shared" si="17"/>
        <v>29</v>
      </c>
      <c r="BD190" s="10">
        <v>0</v>
      </c>
      <c r="BE190" s="2" t="b">
        <f t="shared" si="18"/>
        <v>0</v>
      </c>
      <c r="BF190" s="10">
        <v>0</v>
      </c>
      <c r="BG190" s="2" t="b">
        <f t="shared" si="13"/>
        <v>1</v>
      </c>
      <c r="BH190" s="10">
        <v>0</v>
      </c>
      <c r="BI190" s="2" t="b">
        <f t="shared" si="14"/>
        <v>1</v>
      </c>
      <c r="BJ190" s="10">
        <v>246</v>
      </c>
      <c r="BK190" s="2" t="b">
        <f t="shared" si="15"/>
        <v>0</v>
      </c>
    </row>
    <row r="191" spans="1:64" x14ac:dyDescent="0.2">
      <c r="A191" s="2" t="s">
        <v>659</v>
      </c>
      <c r="B191" s="5" t="s">
        <v>171</v>
      </c>
      <c r="C191" s="2">
        <v>0</v>
      </c>
      <c r="D191" s="5" t="s">
        <v>11</v>
      </c>
      <c r="E191" s="2">
        <v>0</v>
      </c>
      <c r="F191" s="5" t="s">
        <v>45</v>
      </c>
      <c r="G191" s="2">
        <v>0</v>
      </c>
      <c r="H191" s="5" t="s">
        <v>510</v>
      </c>
      <c r="I191" s="2">
        <v>0</v>
      </c>
      <c r="J191" s="5" t="s">
        <v>602</v>
      </c>
      <c r="K191" s="2">
        <v>0</v>
      </c>
      <c r="L191" s="5" t="s">
        <v>44</v>
      </c>
      <c r="M191" s="2">
        <v>0</v>
      </c>
      <c r="N191" s="5" t="s">
        <v>660</v>
      </c>
      <c r="O191" s="2">
        <v>0</v>
      </c>
      <c r="P191" s="5" t="s">
        <v>661</v>
      </c>
      <c r="Q191" s="2">
        <v>0</v>
      </c>
      <c r="R191" s="5" t="s">
        <v>541</v>
      </c>
      <c r="S191" s="2">
        <v>0</v>
      </c>
      <c r="T191" s="5" t="s">
        <v>193</v>
      </c>
      <c r="U191" s="2">
        <v>0</v>
      </c>
      <c r="AB191" s="4" t="s">
        <v>22</v>
      </c>
      <c r="AC191" s="2" t="b">
        <f t="shared" si="16"/>
        <v>0</v>
      </c>
      <c r="AE191" s="2">
        <f>(+C191+E191+G191+I191+Q191+U191)</f>
        <v>0</v>
      </c>
      <c r="AF191" s="2">
        <f>(+C191+E191+I191+K191+Q191+U191)</f>
        <v>0</v>
      </c>
      <c r="AG191" s="2">
        <f>(+C191+K191+Q191)</f>
        <v>0</v>
      </c>
      <c r="AH191" s="2">
        <f>(+I191+U191)</f>
        <v>0</v>
      </c>
      <c r="AI191" s="2">
        <f>(+K191+M191+U191)</f>
        <v>0</v>
      </c>
      <c r="AJ191" s="2">
        <f>(+C191+G191+I191+K191+M191+O191+Q191+U191)</f>
        <v>0</v>
      </c>
      <c r="AK191" s="2">
        <f>(+I191+K191+O191+S191)</f>
        <v>0</v>
      </c>
      <c r="AL191" s="2">
        <f>(+I191+K191+O191+Q191)</f>
        <v>0</v>
      </c>
      <c r="AM191" s="2">
        <f>(+I191+K191+O191+Q191+S191)</f>
        <v>0</v>
      </c>
      <c r="AO191" s="4" t="s">
        <v>22</v>
      </c>
      <c r="AP191" s="2">
        <v>205</v>
      </c>
      <c r="AQ191" s="2">
        <v>202</v>
      </c>
      <c r="AR191" s="2">
        <v>19</v>
      </c>
      <c r="AS191" s="2">
        <v>167</v>
      </c>
      <c r="AT191" s="2">
        <v>29</v>
      </c>
      <c r="AU191" s="2">
        <v>232</v>
      </c>
      <c r="AV191" s="2">
        <v>201</v>
      </c>
      <c r="AW191" s="2">
        <v>195</v>
      </c>
      <c r="AX191" s="2">
        <v>205</v>
      </c>
      <c r="BA191" s="2">
        <f t="shared" si="17"/>
        <v>0</v>
      </c>
      <c r="BD191" s="10">
        <v>0</v>
      </c>
      <c r="BE191" s="2" t="b">
        <f t="shared" si="18"/>
        <v>0</v>
      </c>
      <c r="BF191" s="10">
        <v>258</v>
      </c>
      <c r="BG191" s="2" t="b">
        <f t="shared" si="13"/>
        <v>0</v>
      </c>
      <c r="BH191" s="10">
        <v>258</v>
      </c>
      <c r="BI191" s="2" t="b">
        <f t="shared" si="14"/>
        <v>1</v>
      </c>
      <c r="BJ191" s="10">
        <v>258</v>
      </c>
      <c r="BK191" s="2" t="b">
        <f t="shared" si="15"/>
        <v>1</v>
      </c>
    </row>
    <row r="192" spans="1:64" x14ac:dyDescent="0.2">
      <c r="A192" s="2" t="s">
        <v>662</v>
      </c>
      <c r="B192" s="5" t="s">
        <v>44</v>
      </c>
      <c r="C192" s="2">
        <v>0</v>
      </c>
      <c r="D192" s="5" t="s">
        <v>426</v>
      </c>
      <c r="E192" s="2">
        <v>0</v>
      </c>
      <c r="F192" s="5" t="s">
        <v>418</v>
      </c>
      <c r="G192" s="2">
        <v>0</v>
      </c>
      <c r="H192" s="5" t="s">
        <v>106</v>
      </c>
      <c r="I192" s="2">
        <v>0</v>
      </c>
      <c r="J192" s="5" t="s">
        <v>349</v>
      </c>
      <c r="K192" s="2">
        <v>0</v>
      </c>
      <c r="L192" s="5" t="s">
        <v>410</v>
      </c>
      <c r="M192" s="2">
        <v>0</v>
      </c>
      <c r="N192" s="5" t="s">
        <v>663</v>
      </c>
      <c r="O192" s="2">
        <v>0</v>
      </c>
      <c r="P192" s="5" t="s">
        <v>550</v>
      </c>
      <c r="Q192" s="2">
        <v>0</v>
      </c>
      <c r="R192" s="5" t="s">
        <v>21</v>
      </c>
      <c r="S192" s="2">
        <v>0</v>
      </c>
      <c r="AB192" s="4" t="s">
        <v>22</v>
      </c>
      <c r="AC192" s="2" t="b">
        <f t="shared" si="16"/>
        <v>0</v>
      </c>
      <c r="AE192" s="2">
        <f>(+E192+G192+I192+Q192)</f>
        <v>0</v>
      </c>
      <c r="AF192" s="2">
        <f>(+E192+G192+M192+O192+Q192+S192)</f>
        <v>0</v>
      </c>
      <c r="AG192" s="2">
        <f>(+G192+I192+M192+Q192+S192)</f>
        <v>0</v>
      </c>
      <c r="AH192" s="2">
        <f>(+G192+O192)</f>
        <v>0</v>
      </c>
      <c r="AI192" s="2">
        <f>(+C192+E192+G192+I192+Q192)</f>
        <v>0</v>
      </c>
      <c r="AJ192" s="2">
        <f>(+C192+E192+G192+K192)</f>
        <v>0</v>
      </c>
      <c r="AK192" s="2">
        <f>(+G192+M192+O192)</f>
        <v>0</v>
      </c>
      <c r="AL192" s="2">
        <f>(+E192+G192+M192+Q192)</f>
        <v>0</v>
      </c>
      <c r="AM192" s="2">
        <f>(+K192+O192)</f>
        <v>0</v>
      </c>
      <c r="AO192" s="4" t="s">
        <v>22</v>
      </c>
      <c r="AP192" s="2">
        <v>40</v>
      </c>
      <c r="AQ192" s="2">
        <v>53</v>
      </c>
      <c r="AR192" s="2">
        <v>42</v>
      </c>
      <c r="AS192" s="2">
        <v>30</v>
      </c>
      <c r="AT192" s="2">
        <v>43</v>
      </c>
      <c r="AU192" s="2">
        <v>19</v>
      </c>
      <c r="AV192" s="2">
        <v>32</v>
      </c>
      <c r="AW192" s="2">
        <v>29</v>
      </c>
      <c r="AX192" s="2">
        <v>22</v>
      </c>
      <c r="BA192" s="2">
        <f t="shared" si="17"/>
        <v>0</v>
      </c>
      <c r="BD192" s="10">
        <v>71</v>
      </c>
      <c r="BE192" s="2" t="b">
        <f t="shared" si="18"/>
        <v>0</v>
      </c>
      <c r="BF192" s="10">
        <v>71</v>
      </c>
      <c r="BG192" s="2" t="b">
        <f t="shared" si="13"/>
        <v>1</v>
      </c>
      <c r="BH192" s="10">
        <v>71</v>
      </c>
      <c r="BI192" s="2" t="b">
        <f t="shared" si="14"/>
        <v>1</v>
      </c>
      <c r="BJ192" s="10">
        <v>71</v>
      </c>
      <c r="BK192" s="2" t="b">
        <f t="shared" si="15"/>
        <v>1</v>
      </c>
    </row>
    <row r="193" spans="1:64" s="6" customFormat="1" x14ac:dyDescent="0.2">
      <c r="A193" s="6" t="s">
        <v>664</v>
      </c>
      <c r="B193" s="7" t="s">
        <v>50</v>
      </c>
      <c r="C193" s="6">
        <v>19</v>
      </c>
      <c r="D193" s="7" t="s">
        <v>15</v>
      </c>
      <c r="E193" s="6">
        <v>143</v>
      </c>
      <c r="F193" s="7"/>
      <c r="H193" s="7"/>
      <c r="J193" s="7"/>
      <c r="L193" s="7"/>
      <c r="N193" s="7"/>
      <c r="P193" s="7"/>
      <c r="R193" s="7"/>
      <c r="T193" s="7"/>
      <c r="V193" s="7"/>
      <c r="X193" s="7"/>
      <c r="Z193" s="7"/>
      <c r="AB193" s="6" t="s">
        <v>22</v>
      </c>
      <c r="AC193" s="6" t="b">
        <f t="shared" si="16"/>
        <v>1</v>
      </c>
      <c r="AE193" s="6">
        <f>(+E193)</f>
        <v>143</v>
      </c>
      <c r="AF193" s="6">
        <f>(+C193+E193)</f>
        <v>162</v>
      </c>
      <c r="AG193" s="6">
        <f>(+C193+E193)</f>
        <v>162</v>
      </c>
      <c r="AH193" s="6">
        <f>(+C193)</f>
        <v>19</v>
      </c>
      <c r="AO193" s="6" t="s">
        <v>22</v>
      </c>
      <c r="AP193" s="6">
        <v>143</v>
      </c>
      <c r="AQ193" s="6">
        <v>162</v>
      </c>
      <c r="AR193" s="6">
        <v>162</v>
      </c>
      <c r="AS193" s="6">
        <v>19</v>
      </c>
      <c r="BA193" s="6">
        <f t="shared" si="17"/>
        <v>162</v>
      </c>
      <c r="BB193" s="2"/>
      <c r="BC193" s="2"/>
      <c r="BD193" s="10">
        <v>162</v>
      </c>
      <c r="BE193" s="2" t="b">
        <f t="shared" si="18"/>
        <v>1</v>
      </c>
      <c r="BF193" s="10">
        <v>162</v>
      </c>
      <c r="BG193" s="2" t="b">
        <f t="shared" si="13"/>
        <v>1</v>
      </c>
      <c r="BH193" s="10">
        <v>162</v>
      </c>
      <c r="BI193" s="2" t="b">
        <f t="shared" si="14"/>
        <v>1</v>
      </c>
      <c r="BJ193" s="10">
        <v>162</v>
      </c>
      <c r="BK193" s="2" t="b">
        <f t="shared" si="15"/>
        <v>1</v>
      </c>
      <c r="BL193" s="2"/>
    </row>
    <row r="194" spans="1:64" x14ac:dyDescent="0.2">
      <c r="A194" s="2" t="s">
        <v>665</v>
      </c>
      <c r="B194" s="5" t="s">
        <v>666</v>
      </c>
      <c r="C194" s="2">
        <v>0</v>
      </c>
      <c r="D194" s="5" t="s">
        <v>667</v>
      </c>
      <c r="E194" s="2">
        <v>0</v>
      </c>
      <c r="F194" s="5" t="s">
        <v>668</v>
      </c>
      <c r="G194" s="2">
        <v>0</v>
      </c>
      <c r="H194" s="5" t="s">
        <v>669</v>
      </c>
      <c r="I194" s="2">
        <v>0</v>
      </c>
      <c r="J194" s="5" t="s">
        <v>661</v>
      </c>
      <c r="K194" s="2">
        <v>0</v>
      </c>
      <c r="L194" s="5" t="s">
        <v>533</v>
      </c>
      <c r="M194" s="2">
        <v>0</v>
      </c>
      <c r="N194" s="5" t="s">
        <v>670</v>
      </c>
      <c r="O194" s="2">
        <v>32</v>
      </c>
      <c r="P194" s="5" t="s">
        <v>318</v>
      </c>
      <c r="Q194" s="2">
        <v>0</v>
      </c>
      <c r="R194" s="5" t="s">
        <v>39</v>
      </c>
      <c r="S194" s="2">
        <v>0</v>
      </c>
      <c r="T194" s="5" t="s">
        <v>115</v>
      </c>
      <c r="U194" s="2">
        <v>0</v>
      </c>
      <c r="AB194" s="4" t="s">
        <v>22</v>
      </c>
      <c r="AC194" s="2" t="b">
        <f t="shared" si="16"/>
        <v>0</v>
      </c>
      <c r="AE194" s="2">
        <f>(+E194+G194+I194+K194+O194+S194)</f>
        <v>32</v>
      </c>
      <c r="AF194" s="2">
        <f>(+C194+G194+K194+M194+O194+Q194+S194+U194)</f>
        <v>32</v>
      </c>
      <c r="AG194" s="2">
        <f>(+E194+I194+K194+M194+O194+Q194)</f>
        <v>32</v>
      </c>
      <c r="AH194" s="2">
        <f>(+C194+O194+Q194+S194)</f>
        <v>32</v>
      </c>
      <c r="AI194" s="2">
        <f>(+E194+G194+M194+Q194)</f>
        <v>0</v>
      </c>
      <c r="AJ194" s="2">
        <f>(+C194+E194+I194+K194+O194+U194)</f>
        <v>32</v>
      </c>
      <c r="AK194" s="2">
        <f>(+G194+M194+O194)</f>
        <v>32</v>
      </c>
      <c r="AL194" s="2">
        <f>(+G194+I194+K194+M194+O194+Q194)</f>
        <v>32</v>
      </c>
      <c r="AM194" s="2">
        <f>(+C194+E194+G194+K194)</f>
        <v>0</v>
      </c>
      <c r="AO194" s="4" t="s">
        <v>22</v>
      </c>
      <c r="AP194" s="2">
        <v>87</v>
      </c>
      <c r="AQ194" s="2">
        <v>106</v>
      </c>
      <c r="AR194" s="2">
        <v>85</v>
      </c>
      <c r="AS194" s="2">
        <v>61</v>
      </c>
      <c r="AT194" s="2">
        <v>44</v>
      </c>
      <c r="AU194" s="2">
        <v>94</v>
      </c>
      <c r="AV194" s="2">
        <v>32</v>
      </c>
      <c r="AW194" s="2">
        <v>85</v>
      </c>
      <c r="AX194" s="2">
        <v>59</v>
      </c>
      <c r="BA194" s="2">
        <f t="shared" si="17"/>
        <v>32</v>
      </c>
      <c r="BD194" s="10">
        <v>0</v>
      </c>
      <c r="BE194" s="2" t="b">
        <f t="shared" si="18"/>
        <v>0</v>
      </c>
      <c r="BF194" s="10">
        <v>0</v>
      </c>
      <c r="BG194" s="2" t="b">
        <f t="shared" ref="BG194:BG197" si="19">BD194=BF194</f>
        <v>1</v>
      </c>
      <c r="BH194" s="10">
        <v>136</v>
      </c>
      <c r="BI194" s="2" t="b">
        <f t="shared" ref="BI194:BI197" si="20">BF194=BH194</f>
        <v>0</v>
      </c>
      <c r="BJ194" s="10">
        <v>136</v>
      </c>
      <c r="BK194" s="2" t="b">
        <f t="shared" ref="BK194:BK197" si="21">BH194=BJ194</f>
        <v>1</v>
      </c>
    </row>
    <row r="195" spans="1:64" s="6" customFormat="1" x14ac:dyDescent="0.2">
      <c r="A195" s="6" t="s">
        <v>671</v>
      </c>
      <c r="B195" s="7" t="s">
        <v>39</v>
      </c>
      <c r="C195" s="6">
        <v>4</v>
      </c>
      <c r="D195" s="7" t="s">
        <v>50</v>
      </c>
      <c r="E195" s="6">
        <v>8</v>
      </c>
      <c r="F195" s="7" t="s">
        <v>9</v>
      </c>
      <c r="G195" s="6">
        <v>5</v>
      </c>
      <c r="H195" s="7"/>
      <c r="J195" s="7"/>
      <c r="L195" s="7"/>
      <c r="N195" s="7"/>
      <c r="P195" s="7"/>
      <c r="R195" s="7"/>
      <c r="T195" s="7"/>
      <c r="V195" s="7"/>
      <c r="X195" s="7"/>
      <c r="Z195" s="7"/>
      <c r="AB195" s="6" t="s">
        <v>22</v>
      </c>
      <c r="AC195" s="6" t="b">
        <f t="shared" ref="AC195:AC197" si="22">AND(AE195=AP195,AF195=AQ195,AG195=AR195,AH195=AS195,AI195=AT195,AJ195=AU195,AK195=AV195,AL195=AW195,AM195=AX195,AN195=AY195)</f>
        <v>1</v>
      </c>
      <c r="AE195" s="6">
        <f>(+C195)</f>
        <v>4</v>
      </c>
      <c r="AF195" s="6">
        <f>(+C195+E195)</f>
        <v>12</v>
      </c>
      <c r="AG195" s="6">
        <f>(+E195+G195)</f>
        <v>13</v>
      </c>
      <c r="AH195" s="6">
        <f>(+C195+E195+G195)</f>
        <v>17</v>
      </c>
      <c r="AO195" s="6" t="s">
        <v>22</v>
      </c>
      <c r="AP195" s="6">
        <v>4</v>
      </c>
      <c r="AQ195" s="6">
        <v>12</v>
      </c>
      <c r="AR195" s="6">
        <v>13</v>
      </c>
      <c r="AS195" s="6">
        <v>17</v>
      </c>
      <c r="BA195" s="6">
        <f t="shared" ref="BA195:BA197" si="23">SUM(B195:AA195)</f>
        <v>17</v>
      </c>
      <c r="BB195" s="2"/>
      <c r="BC195" s="2"/>
      <c r="BD195" s="10">
        <v>17</v>
      </c>
      <c r="BE195" s="2" t="b">
        <f t="shared" ref="BE195:BE197" si="24">AND(BD195=BA195,BD195&lt;&gt;0)</f>
        <v>1</v>
      </c>
      <c r="BF195" s="10">
        <v>17</v>
      </c>
      <c r="BG195" s="2" t="b">
        <f t="shared" si="19"/>
        <v>1</v>
      </c>
      <c r="BH195" s="10">
        <v>17</v>
      </c>
      <c r="BI195" s="2" t="b">
        <f t="shared" si="20"/>
        <v>1</v>
      </c>
      <c r="BJ195" s="10">
        <v>17</v>
      </c>
      <c r="BK195" s="2" t="b">
        <f t="shared" si="21"/>
        <v>1</v>
      </c>
      <c r="BL195" s="2"/>
    </row>
    <row r="196" spans="1:64" x14ac:dyDescent="0.2">
      <c r="A196" s="2" t="s">
        <v>672</v>
      </c>
      <c r="B196" s="5" t="s">
        <v>118</v>
      </c>
      <c r="C196" s="2">
        <v>7</v>
      </c>
      <c r="D196" s="5" t="s">
        <v>15</v>
      </c>
      <c r="E196" s="2">
        <v>2</v>
      </c>
      <c r="F196" s="5" t="s">
        <v>47</v>
      </c>
      <c r="G196" s="2">
        <v>14</v>
      </c>
      <c r="H196" s="5" t="s">
        <v>16</v>
      </c>
      <c r="I196" s="2">
        <v>6</v>
      </c>
      <c r="J196" s="5" t="s">
        <v>10</v>
      </c>
      <c r="K196" s="2">
        <v>0</v>
      </c>
      <c r="AB196" s="4" t="s">
        <v>22</v>
      </c>
      <c r="AC196" s="2" t="b">
        <f t="shared" si="22"/>
        <v>0</v>
      </c>
      <c r="AE196" s="2">
        <f>(+E196+G196+K196)</f>
        <v>16</v>
      </c>
      <c r="AF196" s="2">
        <f>(+C196+E196+I196)</f>
        <v>15</v>
      </c>
      <c r="AG196" s="2">
        <f>(+E196+I196+K196)</f>
        <v>8</v>
      </c>
      <c r="AH196" s="2">
        <f>(+C196+G196+I196)</f>
        <v>27</v>
      </c>
      <c r="AI196" s="2">
        <f>(+C196+I196)</f>
        <v>13</v>
      </c>
      <c r="AO196" s="4" t="s">
        <v>22</v>
      </c>
      <c r="AP196" s="2">
        <v>21</v>
      </c>
      <c r="AQ196" s="2">
        <v>16</v>
      </c>
      <c r="AR196" s="2">
        <v>8</v>
      </c>
      <c r="AS196" s="2">
        <v>27</v>
      </c>
      <c r="AT196" s="2">
        <v>13</v>
      </c>
      <c r="BA196" s="2">
        <f t="shared" si="23"/>
        <v>29</v>
      </c>
      <c r="BD196" s="10">
        <v>34</v>
      </c>
      <c r="BE196" s="2" t="b">
        <f t="shared" si="24"/>
        <v>0</v>
      </c>
      <c r="BF196" s="10">
        <v>34</v>
      </c>
      <c r="BG196" s="2" t="b">
        <f t="shared" si="19"/>
        <v>1</v>
      </c>
      <c r="BH196" s="10">
        <v>34</v>
      </c>
      <c r="BI196" s="2" t="b">
        <f t="shared" si="20"/>
        <v>1</v>
      </c>
      <c r="BJ196" s="10">
        <v>34</v>
      </c>
      <c r="BK196" s="2" t="b">
        <f t="shared" si="21"/>
        <v>1</v>
      </c>
    </row>
    <row r="197" spans="1:64" x14ac:dyDescent="0.2">
      <c r="A197" s="2" t="s">
        <v>673</v>
      </c>
      <c r="B197" s="5" t="s">
        <v>183</v>
      </c>
      <c r="C197" s="2">
        <v>0</v>
      </c>
      <c r="D197" s="5" t="s">
        <v>87</v>
      </c>
      <c r="E197" s="2">
        <v>0</v>
      </c>
      <c r="F197" s="5" t="s">
        <v>8</v>
      </c>
      <c r="G197" s="6">
        <v>2</v>
      </c>
      <c r="H197" s="5" t="s">
        <v>348</v>
      </c>
      <c r="I197" s="2">
        <v>0</v>
      </c>
      <c r="J197" s="5" t="s">
        <v>499</v>
      </c>
      <c r="K197" s="2">
        <v>0</v>
      </c>
      <c r="AB197" s="4" t="s">
        <v>22</v>
      </c>
      <c r="AC197" s="2" t="b">
        <f t="shared" si="22"/>
        <v>0</v>
      </c>
      <c r="AE197" s="2">
        <f>(+C197+I197+K197)</f>
        <v>0</v>
      </c>
      <c r="AF197" s="2">
        <f>(+C197+E197+I197+K197)</f>
        <v>0</v>
      </c>
      <c r="AG197" s="2">
        <f>(+G197)</f>
        <v>2</v>
      </c>
      <c r="AH197" s="2">
        <f>(+E197+K197)</f>
        <v>0</v>
      </c>
      <c r="AI197" s="2">
        <f>(+I197+K197)</f>
        <v>0</v>
      </c>
      <c r="AJ197" s="2">
        <f>(+C197+I197)</f>
        <v>0</v>
      </c>
      <c r="AK197" s="2">
        <f>(+C197+E197+I197+K197)</f>
        <v>0</v>
      </c>
      <c r="AO197" s="4" t="s">
        <v>22</v>
      </c>
      <c r="AP197" s="2">
        <v>122</v>
      </c>
      <c r="AQ197" s="2">
        <v>126</v>
      </c>
      <c r="AR197" s="2">
        <v>2</v>
      </c>
      <c r="AS197" s="2">
        <v>6</v>
      </c>
      <c r="AT197" s="2">
        <v>17</v>
      </c>
      <c r="AU197" s="2">
        <v>120</v>
      </c>
      <c r="AV197" s="2">
        <v>126</v>
      </c>
      <c r="BA197" s="2">
        <f t="shared" si="23"/>
        <v>2</v>
      </c>
      <c r="BD197" s="10">
        <v>128</v>
      </c>
      <c r="BE197" s="2" t="b">
        <f t="shared" si="24"/>
        <v>0</v>
      </c>
      <c r="BF197" s="10">
        <v>128</v>
      </c>
      <c r="BG197" s="2" t="b">
        <f t="shared" si="19"/>
        <v>1</v>
      </c>
      <c r="BH197" s="10">
        <v>128</v>
      </c>
      <c r="BI197" s="2" t="b">
        <f t="shared" si="20"/>
        <v>1</v>
      </c>
      <c r="BJ197" s="10">
        <v>128</v>
      </c>
      <c r="BK197" s="2" t="b">
        <f t="shared" si="21"/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78C7-43AD-42D2-85C7-2FA9D2873E34}">
  <dimension ref="A1:BK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4:XFD4"/>
    </sheetView>
  </sheetViews>
  <sheetFormatPr defaultRowHeight="12.75" x14ac:dyDescent="0.2"/>
  <cols>
    <col min="1" max="1" width="36.42578125" style="2" bestFit="1" customWidth="1"/>
    <col min="2" max="2" width="19.5703125" style="5" customWidth="1"/>
    <col min="3" max="3" width="6" style="2" customWidth="1"/>
    <col min="4" max="4" width="16.42578125" style="5" customWidth="1"/>
    <col min="5" max="5" width="6" style="2" customWidth="1"/>
    <col min="6" max="6" width="16.140625" style="5" bestFit="1" customWidth="1"/>
    <col min="7" max="7" width="6" style="2" customWidth="1"/>
    <col min="8" max="8" width="14.5703125" style="5" bestFit="1" customWidth="1"/>
    <col min="9" max="9" width="6" style="2" customWidth="1"/>
    <col min="10" max="10" width="14.5703125" style="5" bestFit="1" customWidth="1"/>
    <col min="11" max="11" width="6" style="2" customWidth="1"/>
    <col min="12" max="12" width="16.140625" style="5" bestFit="1" customWidth="1"/>
    <col min="13" max="13" width="6" style="2" customWidth="1"/>
    <col min="14" max="14" width="16.140625" style="5" customWidth="1"/>
    <col min="15" max="15" width="6" style="2" customWidth="1"/>
    <col min="16" max="16" width="14.5703125" style="5" bestFit="1" customWidth="1"/>
    <col min="17" max="17" width="6" style="2" customWidth="1"/>
    <col min="18" max="18" width="13.140625" style="5" customWidth="1"/>
    <col min="19" max="19" width="6" style="2" customWidth="1"/>
    <col min="20" max="20" width="12.85546875" style="5" customWidth="1"/>
    <col min="21" max="21" width="6" style="2" customWidth="1"/>
    <col min="22" max="22" width="9.140625" style="5"/>
    <col min="23" max="23" width="6" style="2" customWidth="1"/>
    <col min="24" max="24" width="9.140625" style="5"/>
    <col min="25" max="25" width="6" style="2" customWidth="1"/>
    <col min="26" max="26" width="9.140625" style="5"/>
    <col min="27" max="27" width="6" style="2" customWidth="1"/>
    <col min="28" max="28" width="3.5703125" style="4" customWidth="1"/>
    <col min="29" max="29" width="8.5703125" style="2" customWidth="1"/>
    <col min="30" max="30" width="3.5703125" style="4" customWidth="1"/>
    <col min="31" max="40" width="7.5703125" style="2" customWidth="1"/>
    <col min="41" max="41" width="3.140625" style="4" customWidth="1"/>
    <col min="42" max="55" width="9.140625" style="2"/>
    <col min="56" max="56" width="9.140625" style="10"/>
    <col min="57" max="57" width="9.140625" style="2"/>
    <col min="58" max="58" width="9.140625" style="10"/>
    <col min="59" max="59" width="9.140625" style="2"/>
    <col min="60" max="60" width="9.140625" style="10"/>
    <col min="61" max="61" width="9.140625" style="2"/>
    <col min="62" max="62" width="9.140625" style="10"/>
    <col min="63" max="16384" width="9.140625" style="2"/>
  </cols>
  <sheetData>
    <row r="1" spans="1:63" x14ac:dyDescent="0.2">
      <c r="A1" s="2" t="s">
        <v>93</v>
      </c>
      <c r="B1" s="5" t="s">
        <v>70</v>
      </c>
      <c r="C1" s="2">
        <v>0</v>
      </c>
      <c r="D1" s="5" t="s">
        <v>94</v>
      </c>
      <c r="E1" s="2">
        <v>0</v>
      </c>
      <c r="F1" s="5" t="s">
        <v>95</v>
      </c>
      <c r="G1" s="2">
        <v>0</v>
      </c>
      <c r="H1" s="5" t="s">
        <v>96</v>
      </c>
      <c r="I1" s="2">
        <v>0</v>
      </c>
      <c r="J1" s="5" t="s">
        <v>97</v>
      </c>
      <c r="K1" s="2">
        <v>0</v>
      </c>
      <c r="L1" s="5" t="s">
        <v>98</v>
      </c>
      <c r="M1" s="2">
        <v>0</v>
      </c>
      <c r="N1" s="5" t="s">
        <v>52</v>
      </c>
      <c r="O1" s="2">
        <v>0</v>
      </c>
      <c r="P1" s="5" t="s">
        <v>99</v>
      </c>
      <c r="Q1" s="2">
        <v>0</v>
      </c>
      <c r="R1" s="5" t="s">
        <v>100</v>
      </c>
      <c r="S1" s="2">
        <v>0</v>
      </c>
      <c r="T1" s="5" t="s">
        <v>101</v>
      </c>
      <c r="U1" s="2">
        <v>0</v>
      </c>
      <c r="V1" s="5" t="s">
        <v>102</v>
      </c>
      <c r="W1" s="2">
        <v>0</v>
      </c>
      <c r="X1" s="5" t="s">
        <v>103</v>
      </c>
      <c r="Y1" s="2">
        <v>0</v>
      </c>
      <c r="Z1" s="5" t="s">
        <v>104</v>
      </c>
      <c r="AA1" s="2">
        <v>0</v>
      </c>
      <c r="AB1" s="4" t="s">
        <v>22</v>
      </c>
      <c r="AC1" s="2" t="b">
        <f t="shared" ref="AC1:AC2" si="0">AND(AE1=AP1,AF1=AQ1,AG1=AR1,AH1=AS1,AI1=AT1,AJ1=AU1,AK1=AV1,AL1=AW1,AM1=AX1,AN1=AY1)</f>
        <v>0</v>
      </c>
      <c r="AE1" s="2">
        <f>(+C1+G1+I1+S1+U1+W1+Y1+AA1)</f>
        <v>0</v>
      </c>
      <c r="AF1" s="2">
        <f>(+C1+I1+M1+Q1+W1)</f>
        <v>0</v>
      </c>
      <c r="AG1" s="2">
        <f>(+C1+E1+G1+K1+Q1+W1+Y1)</f>
        <v>0</v>
      </c>
      <c r="AH1" s="2">
        <f>(+C1+E1+G1+K1+Q1+S1+U1+Y1)</f>
        <v>0</v>
      </c>
      <c r="AI1" s="2">
        <f>(+C1+E1+O1+S1+W1+AA1)</f>
        <v>0</v>
      </c>
      <c r="AJ1" s="2">
        <f>(+C1+E1+G1+K1+S1+W1+Y1)</f>
        <v>0</v>
      </c>
      <c r="AK1" s="2">
        <f>(+E1+Q1+S1+U1+W1+AA1)</f>
        <v>0</v>
      </c>
      <c r="AL1" s="2">
        <f>(+C1+E1+I1+M1+Q1+W1+Y1+AA1)</f>
        <v>0</v>
      </c>
      <c r="AM1" s="2">
        <f>(+C1+E1+G1+U1+Y1)</f>
        <v>0</v>
      </c>
      <c r="AN1" s="2">
        <f>(+G1+I1+U1+W1+Y1)</f>
        <v>0</v>
      </c>
      <c r="AO1" s="4" t="s">
        <v>22</v>
      </c>
      <c r="AP1" s="2">
        <v>87</v>
      </c>
      <c r="AQ1" s="2">
        <v>56</v>
      </c>
      <c r="AR1" s="2">
        <v>65</v>
      </c>
      <c r="AS1" s="2">
        <v>70</v>
      </c>
      <c r="AT1" s="2">
        <v>72</v>
      </c>
      <c r="AU1" s="2">
        <v>54</v>
      </c>
      <c r="AV1" s="2">
        <v>78</v>
      </c>
      <c r="AW1" s="2">
        <v>100</v>
      </c>
      <c r="AX1" s="2">
        <v>42</v>
      </c>
      <c r="AY1" s="2">
        <v>54</v>
      </c>
      <c r="BA1" s="2">
        <f t="shared" ref="BA1:BA2" si="1">SUM(B1:AA1)</f>
        <v>0</v>
      </c>
      <c r="BD1" s="10">
        <v>135</v>
      </c>
      <c r="BE1" s="2" t="b">
        <f t="shared" ref="BE1:BE2" si="2">AND(BD1=BA1,BD1&lt;&gt;0)</f>
        <v>0</v>
      </c>
      <c r="BF1" s="10">
        <v>0</v>
      </c>
      <c r="BG1" s="2" t="b">
        <f t="shared" ref="BG1:BG2" si="3">BD1=BF1</f>
        <v>0</v>
      </c>
      <c r="BH1" s="10">
        <v>0</v>
      </c>
      <c r="BI1" s="2" t="b">
        <f t="shared" ref="BI1:BI2" si="4">BF1=BH1</f>
        <v>1</v>
      </c>
      <c r="BK1" s="2" t="b">
        <f t="shared" ref="BK1:BK2" si="5">BH1=BJ1</f>
        <v>1</v>
      </c>
    </row>
    <row r="2" spans="1:63" x14ac:dyDescent="0.2">
      <c r="A2" s="2" t="s">
        <v>110</v>
      </c>
      <c r="B2" s="5" t="s">
        <v>111</v>
      </c>
      <c r="C2" s="2">
        <v>0</v>
      </c>
      <c r="D2" s="5" t="s">
        <v>112</v>
      </c>
      <c r="E2" s="2">
        <v>0</v>
      </c>
      <c r="F2" s="5" t="s">
        <v>113</v>
      </c>
      <c r="G2" s="2">
        <v>0</v>
      </c>
      <c r="H2" s="5" t="s">
        <v>34</v>
      </c>
      <c r="I2" s="2">
        <v>0</v>
      </c>
      <c r="J2" s="5" t="s">
        <v>114</v>
      </c>
      <c r="K2" s="2">
        <v>0</v>
      </c>
      <c r="L2" s="5" t="s">
        <v>55</v>
      </c>
      <c r="M2" s="2">
        <v>0</v>
      </c>
      <c r="N2" s="5" t="s">
        <v>115</v>
      </c>
      <c r="O2" s="2">
        <v>0</v>
      </c>
      <c r="P2" s="5" t="s">
        <v>116</v>
      </c>
      <c r="Q2" s="2">
        <v>0</v>
      </c>
      <c r="AB2" s="4" t="s">
        <v>22</v>
      </c>
      <c r="AC2" s="2" t="b">
        <f t="shared" si="0"/>
        <v>0</v>
      </c>
      <c r="AE2" s="2">
        <f>(+E2+I2+K2+M2)</f>
        <v>0</v>
      </c>
      <c r="AF2" s="2">
        <f>(+C2+K2+M2+O2+Q2)</f>
        <v>0</v>
      </c>
      <c r="AG2" s="2">
        <f>(+E2+G2+I2+K2+M2+Q2)</f>
        <v>0</v>
      </c>
      <c r="AH2" s="2">
        <f>(+C2+E2+I2+K2+M2+Q2)</f>
        <v>0</v>
      </c>
      <c r="AI2" s="2">
        <f>(+C2+E2+I2+Q2)</f>
        <v>0</v>
      </c>
      <c r="AJ2" s="2">
        <f>(+C2+I2+K2+M2+O2+Q2)</f>
        <v>0</v>
      </c>
      <c r="AK2" s="2">
        <f>(+C2+E2+G2+M2)</f>
        <v>0</v>
      </c>
      <c r="AO2" s="4" t="s">
        <v>22</v>
      </c>
      <c r="AP2" s="2">
        <v>245</v>
      </c>
      <c r="AQ2" s="2">
        <v>73</v>
      </c>
      <c r="AR2" s="2">
        <v>271</v>
      </c>
      <c r="AS2" s="2">
        <v>260</v>
      </c>
      <c r="AT2" s="2">
        <v>222</v>
      </c>
      <c r="AU2" s="2">
        <v>272</v>
      </c>
      <c r="AV2" s="2">
        <v>45</v>
      </c>
      <c r="BA2" s="2">
        <f t="shared" si="1"/>
        <v>0</v>
      </c>
      <c r="BD2" s="2">
        <v>291</v>
      </c>
      <c r="BE2" s="2" t="b">
        <f t="shared" si="2"/>
        <v>0</v>
      </c>
      <c r="BF2" s="10">
        <v>0</v>
      </c>
      <c r="BG2" s="2" t="b">
        <f t="shared" si="3"/>
        <v>0</v>
      </c>
      <c r="BH2" s="10">
        <v>0</v>
      </c>
      <c r="BI2" s="2" t="b">
        <f t="shared" si="4"/>
        <v>1</v>
      </c>
      <c r="BJ2" s="2"/>
      <c r="BK2" s="2" t="b">
        <f t="shared" si="5"/>
        <v>1</v>
      </c>
    </row>
    <row r="3" spans="1:63" x14ac:dyDescent="0.2">
      <c r="A3" s="2" t="s">
        <v>327</v>
      </c>
      <c r="B3" s="5" t="s">
        <v>328</v>
      </c>
      <c r="C3" s="2">
        <v>0</v>
      </c>
      <c r="D3" s="5" t="s">
        <v>81</v>
      </c>
      <c r="E3" s="2">
        <v>0</v>
      </c>
      <c r="F3" s="5" t="s">
        <v>329</v>
      </c>
      <c r="G3" s="2">
        <v>0</v>
      </c>
      <c r="H3" s="5" t="s">
        <v>330</v>
      </c>
      <c r="I3" s="2">
        <v>0</v>
      </c>
      <c r="J3" s="5" t="s">
        <v>176</v>
      </c>
      <c r="K3" s="2">
        <v>18</v>
      </c>
      <c r="L3" s="5" t="s">
        <v>331</v>
      </c>
      <c r="M3" s="2">
        <v>0</v>
      </c>
      <c r="N3" s="5" t="s">
        <v>332</v>
      </c>
      <c r="O3" s="2">
        <v>0</v>
      </c>
      <c r="P3" s="5" t="s">
        <v>285</v>
      </c>
      <c r="Q3" s="2">
        <v>11</v>
      </c>
      <c r="R3" s="5" t="s">
        <v>333</v>
      </c>
      <c r="S3" s="2">
        <v>0</v>
      </c>
      <c r="T3" s="5" t="s">
        <v>334</v>
      </c>
      <c r="U3" s="2">
        <v>14</v>
      </c>
      <c r="V3" s="5" t="s">
        <v>143</v>
      </c>
      <c r="W3" s="2">
        <v>0</v>
      </c>
      <c r="AB3" s="4" t="s">
        <v>22</v>
      </c>
      <c r="AC3" s="2" t="b">
        <f t="shared" ref="AC3:AC4" si="6">AND(AE3=AP3,AF3=AQ3,AG3=AR3,AH3=AS3,AI3=AT3,AJ3=AU3,AK3=AV3,AL3=AW3,AM3=AX3,AN3=AY3)</f>
        <v>0</v>
      </c>
      <c r="AE3" s="2">
        <f>(+E3+I3+M3+O3+S3+U3+W3)</f>
        <v>14</v>
      </c>
      <c r="AF3" s="2">
        <f>(+E3+K3+Q3+U3)</f>
        <v>43</v>
      </c>
      <c r="AG3" s="2">
        <f>(+E3+G3+K3+Q3+S3+W3)</f>
        <v>29</v>
      </c>
      <c r="AH3" s="2">
        <f>(+E3+G3+K3+Q3+S3+U3+W3)</f>
        <v>43</v>
      </c>
      <c r="AI3" s="2">
        <f>(+E3+M3+Q3+W3)</f>
        <v>11</v>
      </c>
      <c r="AJ3" s="2">
        <f>(+K3+M3+O3+Q3+U3)</f>
        <v>43</v>
      </c>
      <c r="AK3" s="2">
        <f>(+C3+K3+M3+Q3+W3)</f>
        <v>29</v>
      </c>
      <c r="AL3" s="2">
        <f>(+E3+G3+I3+K3+O3+Q3+U3+W3)</f>
        <v>43</v>
      </c>
      <c r="AM3" s="2">
        <f>(+I3+M3+S3+U3)</f>
        <v>14</v>
      </c>
      <c r="AO3" s="4" t="s">
        <v>22</v>
      </c>
      <c r="AP3" s="2">
        <v>74</v>
      </c>
      <c r="AQ3" s="2">
        <v>56</v>
      </c>
      <c r="AR3" s="2">
        <v>77</v>
      </c>
      <c r="AS3" s="2">
        <v>96</v>
      </c>
      <c r="AT3" s="2">
        <v>42</v>
      </c>
      <c r="AU3" s="2">
        <v>43</v>
      </c>
      <c r="AV3" s="2">
        <v>58</v>
      </c>
      <c r="AW3" s="2">
        <v>97</v>
      </c>
      <c r="AX3" s="2">
        <v>39</v>
      </c>
      <c r="BA3" s="2">
        <f t="shared" ref="BA3:BA4" si="7">SUM(B3:AA3)</f>
        <v>43</v>
      </c>
      <c r="BD3" s="10">
        <v>120</v>
      </c>
      <c r="BE3" s="2" t="b">
        <f t="shared" ref="BE3:BE4" si="8">AND(BD3=BA3,BD3&lt;&gt;0)</f>
        <v>0</v>
      </c>
      <c r="BF3" s="10">
        <v>0</v>
      </c>
      <c r="BG3" s="2" t="b">
        <f t="shared" ref="BG3:BG4" si="9">BD3=BF3</f>
        <v>0</v>
      </c>
      <c r="BH3" s="10">
        <v>0</v>
      </c>
      <c r="BI3" s="2" t="b">
        <f t="shared" ref="BI3:BI4" si="10">BF3=BH3</f>
        <v>1</v>
      </c>
      <c r="BK3" s="2" t="b">
        <f t="shared" ref="BK3:BK4" si="11">BH3=BJ3</f>
        <v>1</v>
      </c>
    </row>
    <row r="4" spans="1:63" x14ac:dyDescent="0.2">
      <c r="A4" s="2" t="s">
        <v>412</v>
      </c>
      <c r="B4" s="5" t="s">
        <v>180</v>
      </c>
      <c r="C4" s="2">
        <v>0</v>
      </c>
      <c r="D4" s="5" t="s">
        <v>413</v>
      </c>
      <c r="E4" s="2">
        <v>0</v>
      </c>
      <c r="F4" s="5" t="s">
        <v>414</v>
      </c>
      <c r="G4" s="2">
        <v>0</v>
      </c>
      <c r="H4" s="5" t="s">
        <v>415</v>
      </c>
      <c r="I4" s="2">
        <v>0</v>
      </c>
      <c r="J4" s="5" t="s">
        <v>245</v>
      </c>
      <c r="K4" s="2">
        <v>0</v>
      </c>
      <c r="L4" s="5" t="s">
        <v>416</v>
      </c>
      <c r="M4" s="2">
        <v>0</v>
      </c>
      <c r="N4" s="5" t="s">
        <v>322</v>
      </c>
      <c r="O4" s="2">
        <v>0</v>
      </c>
      <c r="P4" s="5" t="s">
        <v>417</v>
      </c>
      <c r="Q4" s="2">
        <v>0</v>
      </c>
      <c r="R4" s="5" t="s">
        <v>418</v>
      </c>
      <c r="S4" s="2">
        <v>0</v>
      </c>
      <c r="T4" s="5" t="s">
        <v>211</v>
      </c>
      <c r="U4" s="2">
        <v>0</v>
      </c>
      <c r="V4" s="5" t="s">
        <v>171</v>
      </c>
      <c r="W4" s="2">
        <v>0</v>
      </c>
      <c r="AB4" s="4" t="s">
        <v>22</v>
      </c>
      <c r="AC4" s="2" t="b">
        <f t="shared" si="6"/>
        <v>0</v>
      </c>
      <c r="AE4" s="2">
        <f>(+C4+I4+K4+S4+U4+W4)</f>
        <v>0</v>
      </c>
      <c r="AF4" s="2">
        <f>(+E4+G4+O4+Q4+S4+U4+W4)</f>
        <v>0</v>
      </c>
      <c r="AG4" s="2">
        <f>(+E4+G4+I4+K4+S4+U4+W4)</f>
        <v>0</v>
      </c>
      <c r="AH4" s="2">
        <f>(+C4+E4+O4+Q4+S4)</f>
        <v>0</v>
      </c>
      <c r="AI4" s="2">
        <f>(+C4+E4+M4+S4+U4)</f>
        <v>0</v>
      </c>
      <c r="AJ4" s="2">
        <f>(+C4+E4+G4+I4+K4+S4+U4+W4)</f>
        <v>0</v>
      </c>
      <c r="AK4" s="2">
        <f>(+C4+E4+I4+Q4+S4+U4)</f>
        <v>0</v>
      </c>
      <c r="AL4" s="2">
        <f>(+C4+G4+I4+M4+Q4+S4)</f>
        <v>0</v>
      </c>
      <c r="AM4" s="2">
        <f>(+E4+I4+M4+O4+Q4+U4)</f>
        <v>0</v>
      </c>
      <c r="AO4" s="4" t="s">
        <v>22</v>
      </c>
      <c r="AP4" s="2">
        <v>196</v>
      </c>
      <c r="AQ4" s="2">
        <v>232</v>
      </c>
      <c r="AR4" s="2">
        <v>215</v>
      </c>
      <c r="AS4" s="2">
        <v>212</v>
      </c>
      <c r="AT4" s="2">
        <v>207</v>
      </c>
      <c r="AU4" s="2">
        <v>222</v>
      </c>
      <c r="AV4" s="2">
        <v>205</v>
      </c>
      <c r="AW4" s="2">
        <v>195</v>
      </c>
      <c r="AX4" s="2">
        <v>72</v>
      </c>
      <c r="BA4" s="2">
        <f t="shared" si="7"/>
        <v>0</v>
      </c>
      <c r="BD4" s="10">
        <v>0</v>
      </c>
      <c r="BE4" s="2" t="b">
        <f t="shared" si="8"/>
        <v>0</v>
      </c>
      <c r="BF4" s="10">
        <v>0</v>
      </c>
      <c r="BG4" s="2" t="b">
        <f t="shared" si="9"/>
        <v>1</v>
      </c>
      <c r="BH4" s="10">
        <v>0</v>
      </c>
      <c r="BI4" s="2" t="b">
        <f t="shared" si="10"/>
        <v>1</v>
      </c>
      <c r="BK4" s="2" t="b">
        <f t="shared" si="11"/>
        <v>1</v>
      </c>
    </row>
    <row r="6" spans="1:63" x14ac:dyDescent="0.2">
      <c r="A6" s="12" t="s">
        <v>675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DA6B-FAC2-4542-BAD1-DAB20ECD404D}">
  <dimension ref="A1:AW8"/>
  <sheetViews>
    <sheetView workbookViewId="0">
      <selection activeCell="J2" sqref="J2"/>
    </sheetView>
  </sheetViews>
  <sheetFormatPr defaultRowHeight="15" x14ac:dyDescent="0.25"/>
  <cols>
    <col min="1" max="1" width="38.85546875" customWidth="1"/>
    <col min="2" max="12" width="18.5703125" customWidth="1"/>
  </cols>
  <sheetData>
    <row r="1" spans="1:49" s="2" customFormat="1" ht="12.75" x14ac:dyDescent="0.2">
      <c r="A1" s="2" t="s">
        <v>412</v>
      </c>
      <c r="B1" s="5" t="s">
        <v>180</v>
      </c>
      <c r="C1" s="5" t="s">
        <v>413</v>
      </c>
      <c r="D1" s="5" t="s">
        <v>414</v>
      </c>
      <c r="E1" s="5" t="s">
        <v>415</v>
      </c>
      <c r="F1" s="5" t="s">
        <v>245</v>
      </c>
      <c r="G1" s="5" t="s">
        <v>416</v>
      </c>
      <c r="H1" s="5" t="s">
        <v>322</v>
      </c>
      <c r="I1" s="5" t="s">
        <v>417</v>
      </c>
      <c r="J1" s="5" t="s">
        <v>418</v>
      </c>
      <c r="K1" s="5" t="s">
        <v>211</v>
      </c>
      <c r="L1" s="5" t="s">
        <v>171</v>
      </c>
      <c r="N1" s="4" t="s">
        <v>22</v>
      </c>
      <c r="P1" s="4"/>
      <c r="AA1" s="4" t="s">
        <v>22</v>
      </c>
      <c r="AP1" s="10">
        <v>0</v>
      </c>
      <c r="AQ1" s="2" t="b">
        <f>AND(AP1=B8,AP1&lt;&gt;0)</f>
        <v>0</v>
      </c>
      <c r="AR1" s="10">
        <v>0</v>
      </c>
      <c r="AS1" s="2" t="b">
        <f t="shared" ref="AS1" si="0">AP1=AR1</f>
        <v>1</v>
      </c>
      <c r="AT1" s="10">
        <v>0</v>
      </c>
      <c r="AU1" s="2" t="b">
        <f t="shared" ref="AU1" si="1">AR1=AT1</f>
        <v>1</v>
      </c>
      <c r="AV1" s="10"/>
      <c r="AW1" s="2" t="b">
        <f t="shared" ref="AW1" si="2">AT1=AV1</f>
        <v>1</v>
      </c>
    </row>
    <row r="2" spans="1:49" x14ac:dyDescent="0.25">
      <c r="B2" s="2">
        <v>45</v>
      </c>
      <c r="C2" s="2">
        <v>20</v>
      </c>
      <c r="D2" s="2">
        <v>20</v>
      </c>
      <c r="E2" s="2">
        <v>8</v>
      </c>
      <c r="F2" s="2">
        <v>0</v>
      </c>
      <c r="G2" s="2">
        <v>0</v>
      </c>
      <c r="H2" s="2">
        <v>0</v>
      </c>
      <c r="I2" s="2">
        <v>30</v>
      </c>
      <c r="J2" s="2">
        <v>102</v>
      </c>
      <c r="K2" s="2">
        <v>14</v>
      </c>
      <c r="L2" s="2">
        <v>40</v>
      </c>
    </row>
    <row r="3" spans="1:49" x14ac:dyDescent="0.25">
      <c r="B3" s="2">
        <f>(+B2+E2+F2+J2+K2+L2)</f>
        <v>209</v>
      </c>
      <c r="C3" s="2">
        <f>(+C2+D2+H2+I2+J2+K2+L2)</f>
        <v>226</v>
      </c>
      <c r="D3" s="2">
        <f>(+C2+D2+E2+F2+J2+K2+L2)</f>
        <v>204</v>
      </c>
      <c r="E3" s="2">
        <f>(+B2+C2+H2+I2+J2)</f>
        <v>197</v>
      </c>
      <c r="F3" s="2">
        <f>(+B2+C2+G2+J2+K2)</f>
        <v>181</v>
      </c>
      <c r="G3" s="2">
        <f>(+B2+C2+D2+E2+F2+J2+K2+L2)</f>
        <v>249</v>
      </c>
      <c r="H3" s="2">
        <f>(+B2+C2+E2+I2+J2+K2)</f>
        <v>219</v>
      </c>
      <c r="I3" s="2">
        <f>(+B2+D2+E2+G2+I2+J2)</f>
        <v>205</v>
      </c>
      <c r="J3" s="2">
        <f>(+C2+E2+G2+H2+I2+K2)</f>
        <v>72</v>
      </c>
    </row>
    <row r="4" spans="1:49" x14ac:dyDescent="0.25">
      <c r="B4" s="13">
        <v>0</v>
      </c>
      <c r="C4" s="13">
        <v>1</v>
      </c>
      <c r="D4" s="13">
        <v>2</v>
      </c>
      <c r="E4" s="13">
        <v>3</v>
      </c>
      <c r="F4" s="13">
        <v>4</v>
      </c>
      <c r="G4" s="13">
        <v>5</v>
      </c>
      <c r="H4" s="13">
        <v>6</v>
      </c>
      <c r="I4" s="13">
        <v>7</v>
      </c>
      <c r="J4" s="13">
        <v>8</v>
      </c>
    </row>
    <row r="5" spans="1:49" x14ac:dyDescent="0.25">
      <c r="B5" s="2">
        <v>196</v>
      </c>
      <c r="C5" s="2">
        <v>232</v>
      </c>
      <c r="D5" s="2">
        <v>215</v>
      </c>
      <c r="E5" s="2">
        <v>212</v>
      </c>
      <c r="F5" s="2">
        <v>207</v>
      </c>
      <c r="G5" s="2">
        <v>222</v>
      </c>
      <c r="H5" s="2">
        <v>205</v>
      </c>
      <c r="I5" s="2">
        <v>195</v>
      </c>
      <c r="J5" s="2">
        <v>72</v>
      </c>
    </row>
    <row r="6" spans="1:49" x14ac:dyDescent="0.25">
      <c r="B6">
        <f>B5-B3</f>
        <v>-13</v>
      </c>
      <c r="C6">
        <f t="shared" ref="C6:J6" si="3">C5-C3</f>
        <v>6</v>
      </c>
      <c r="D6">
        <f t="shared" si="3"/>
        <v>11</v>
      </c>
      <c r="E6">
        <f t="shared" si="3"/>
        <v>15</v>
      </c>
      <c r="F6">
        <f t="shared" si="3"/>
        <v>26</v>
      </c>
      <c r="G6">
        <f t="shared" si="3"/>
        <v>-27</v>
      </c>
      <c r="H6">
        <f t="shared" si="3"/>
        <v>-14</v>
      </c>
      <c r="I6">
        <f t="shared" si="3"/>
        <v>-10</v>
      </c>
      <c r="J6">
        <f t="shared" si="3"/>
        <v>0</v>
      </c>
    </row>
    <row r="7" spans="1:49" x14ac:dyDescent="0.25">
      <c r="B7" s="2" t="b">
        <f>AND(B3=B5,C3=C5,D3=D5,E3=E5,F3=F5,G3=G5,H3=H5,I3=I5,J3=J5,Z1=AK1)</f>
        <v>0</v>
      </c>
    </row>
    <row r="8" spans="1:49" x14ac:dyDescent="0.25">
      <c r="B8" s="2">
        <f>SUM(B2:L2)</f>
        <v>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E412-E13B-4B39-97DC-DD8F272E75BC}">
  <dimension ref="A1:E2"/>
  <sheetViews>
    <sheetView workbookViewId="0">
      <selection activeCell="B3" sqref="B3"/>
    </sheetView>
  </sheetViews>
  <sheetFormatPr defaultRowHeight="15" x14ac:dyDescent="0.25"/>
  <cols>
    <col min="1" max="1" width="14.85546875" bestFit="1" customWidth="1"/>
  </cols>
  <sheetData>
    <row r="1" spans="1:5" x14ac:dyDescent="0.25">
      <c r="B1" t="s">
        <v>42</v>
      </c>
      <c r="C1" t="s">
        <v>15</v>
      </c>
      <c r="D1" t="s">
        <v>13</v>
      </c>
    </row>
    <row r="2" spans="1:5" x14ac:dyDescent="0.25">
      <c r="A2" t="s">
        <v>107</v>
      </c>
      <c r="B2">
        <v>16</v>
      </c>
      <c r="C2">
        <v>16</v>
      </c>
      <c r="D2">
        <v>14</v>
      </c>
      <c r="E2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Prod</vt:lpstr>
      <vt:lpstr>Prod-X</vt:lpstr>
      <vt:lpstr>Prod-XX</vt:lpstr>
      <vt:lpstr>Sheet7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Gordan Gubic</dc:creator>
  <cp:lastModifiedBy>Gordan Gubic</cp:lastModifiedBy>
  <dcterms:created xsi:type="dcterms:W3CDTF">2022-12-15T06:06:25Z</dcterms:created>
  <dcterms:modified xsi:type="dcterms:W3CDTF">2025-12-11T10:13:39Z</dcterms:modified>
</cp:coreProperties>
</file>