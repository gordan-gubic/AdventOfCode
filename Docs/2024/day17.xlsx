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AdventOfCode\Docs\2024\"/>
    </mc:Choice>
  </mc:AlternateContent>
  <xr:revisionPtr revIDLastSave="0" documentId="13_ncr:1_{20BB2A8E-A017-4B7C-A95A-A41B9AD3AA90}" xr6:coauthVersionLast="47" xr6:coauthVersionMax="47" xr10:uidLastSave="{00000000-0000-0000-0000-000000000000}"/>
  <bookViews>
    <workbookView xWindow="-108" yWindow="-108" windowWidth="23256" windowHeight="13896" activeTab="5" xr2:uid="{B44EEF06-F11A-4E50-B49D-20402492338E}"/>
  </bookViews>
  <sheets>
    <sheet name="Sheet1" sheetId="20" r:id="rId1"/>
    <sheet name="Sheet2" sheetId="21" r:id="rId2"/>
    <sheet name="Sheet3" sheetId="24" r:id="rId3"/>
    <sheet name="Rx2" sheetId="22" r:id="rId4"/>
    <sheet name="Rx3" sheetId="23" r:id="rId5"/>
    <sheet name="Sheet4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25" l="1"/>
  <c r="N10" i="25"/>
  <c r="N6" i="25"/>
  <c r="M13" i="25"/>
  <c r="L13" i="25"/>
  <c r="M10" i="25"/>
  <c r="M6" i="25"/>
  <c r="K13" i="25"/>
  <c r="J13" i="25"/>
  <c r="I13" i="25"/>
  <c r="I10" i="25"/>
  <c r="J10" i="25"/>
  <c r="K10" i="25"/>
  <c r="L10" i="25"/>
  <c r="I6" i="25"/>
  <c r="J6" i="25"/>
  <c r="K6" i="25"/>
  <c r="L6" i="25"/>
  <c r="H13" i="25"/>
  <c r="D10" i="25"/>
  <c r="E10" i="25"/>
  <c r="F10" i="25"/>
  <c r="G10" i="25"/>
  <c r="H10" i="25"/>
  <c r="C10" i="25"/>
  <c r="G13" i="25"/>
  <c r="H6" i="25"/>
  <c r="G6" i="25"/>
  <c r="F6" i="25"/>
  <c r="E6" i="25"/>
  <c r="D6" i="25"/>
  <c r="C6" i="25"/>
  <c r="D4" i="25"/>
  <c r="C4" i="25"/>
  <c r="B4" i="24"/>
  <c r="B5" i="24"/>
  <c r="B6" i="24"/>
  <c r="B7" i="24"/>
  <c r="B3" i="24"/>
  <c r="D10" i="23"/>
  <c r="D13" i="23" s="1"/>
  <c r="D6" i="23"/>
  <c r="K15" i="23"/>
  <c r="K13" i="23" s="1"/>
  <c r="G15" i="23"/>
  <c r="G10" i="23" s="1"/>
  <c r="C15" i="23"/>
  <c r="C13" i="23" s="1"/>
  <c r="C10" i="23" s="1"/>
  <c r="C6" i="23" s="1"/>
  <c r="B25" i="23"/>
  <c r="B28" i="23" s="1"/>
  <c r="B29" i="23" s="1"/>
  <c r="B30" i="23" s="1"/>
  <c r="Q13" i="23"/>
  <c r="Q10" i="23" s="1"/>
  <c r="Q6" i="23" s="1"/>
  <c r="N13" i="23"/>
  <c r="N10" i="23" s="1"/>
  <c r="N6" i="23" s="1"/>
  <c r="B63" i="22"/>
  <c r="B62" i="22"/>
  <c r="B64" i="22" s="1"/>
  <c r="B65" i="22" s="1"/>
  <c r="B61" i="22"/>
  <c r="B42" i="22"/>
  <c r="B39" i="22" s="1"/>
  <c r="F29" i="22"/>
  <c r="A1" i="23"/>
  <c r="J42" i="22"/>
  <c r="J39" i="22" s="1"/>
  <c r="J35" i="22" s="1"/>
  <c r="H42" i="22"/>
  <c r="H39" i="22" s="1"/>
  <c r="H35" i="22" s="1"/>
  <c r="F42" i="22"/>
  <c r="F39" i="22" s="1"/>
  <c r="F35" i="22" s="1"/>
  <c r="D42" i="22"/>
  <c r="D39" i="22" s="1"/>
  <c r="D35" i="22" s="1"/>
  <c r="C49" i="20"/>
  <c r="C45" i="20"/>
  <c r="C46" i="20"/>
  <c r="C47" i="20" s="1"/>
  <c r="C48" i="20" s="1"/>
  <c r="C44" i="20"/>
  <c r="K10" i="23" l="1"/>
  <c r="K6" i="23"/>
  <c r="G13" i="23"/>
  <c r="G6" i="23"/>
  <c r="G4" i="23" s="1"/>
  <c r="B35" i="22"/>
  <c r="B33" i="22" s="1"/>
  <c r="D33" i="22" s="1"/>
  <c r="F33" i="22" s="1"/>
  <c r="K12" i="23" l="1"/>
  <c r="G12" i="23"/>
  <c r="K4" i="23"/>
  <c r="N12" i="23" s="1"/>
  <c r="H33" i="22"/>
  <c r="H29" i="22"/>
  <c r="N4" i="23" l="1"/>
  <c r="J33" i="22"/>
  <c r="J29" i="22"/>
  <c r="Q4" i="23" l="1"/>
  <c r="Q12" i="23"/>
</calcChain>
</file>

<file path=xl/sharedStrings.xml><?xml version="1.0" encoding="utf-8"?>
<sst xmlns="http://schemas.openxmlformats.org/spreadsheetml/2006/main" count="395" uniqueCount="111">
  <si>
    <t>combo: combo=&gt;3</t>
  </si>
  <si>
    <t>adv: ADV: 117440::3=&gt;14680</t>
  </si>
  <si>
    <t>combo: combo=&gt;4</t>
  </si>
  <si>
    <t>out: OUT: 14680=&gt;0</t>
  </si>
  <si>
    <t>next: next=&gt;0</t>
  </si>
  <si>
    <t>jnz: JNZ: 14680=&gt;0</t>
  </si>
  <si>
    <t>adv: ADV: 14680::3=&gt;1835</t>
  </si>
  <si>
    <t>out: OUT: 1835=&gt;3</t>
  </si>
  <si>
    <t>jnz: JNZ: 1835=&gt;0</t>
  </si>
  <si>
    <t>adv: ADV: 1835::3=&gt;229</t>
  </si>
  <si>
    <t>out: OUT: 229=&gt;5</t>
  </si>
  <si>
    <t>jnz: JNZ: 229=&gt;0</t>
  </si>
  <si>
    <t>adv: ADV: 229::3=&gt;28</t>
  </si>
  <si>
    <t>out: OUT: 28=&gt;4</t>
  </si>
  <si>
    <t>jnz: JNZ: 28=&gt;0</t>
  </si>
  <si>
    <t>adv: ADV: 28::3=&gt;3</t>
  </si>
  <si>
    <t>out: OUT: 3=&gt;3</t>
  </si>
  <si>
    <t>jnz: JNZ: 3=&gt;0</t>
  </si>
  <si>
    <t>adv: ADV: 3::3=&gt;0</t>
  </si>
  <si>
    <t>out: OUT: 0=&gt;0</t>
  </si>
  <si>
    <t>[0,3,5,4,3,0]</t>
  </si>
  <si>
    <t>bst: BST: 24847151=&gt;7</t>
  </si>
  <si>
    <t>next: next=&gt;5</t>
  </si>
  <si>
    <t>bxl: BXL: 7::5=&gt;2</t>
  </si>
  <si>
    <t>combo: combo=&gt;5</t>
  </si>
  <si>
    <t>cdv: CDV: 24847151::2=&gt;6211787</t>
  </si>
  <si>
    <t>next: next=&gt;6</t>
  </si>
  <si>
    <t>bxl: BXL: 2::6=&gt;4</t>
  </si>
  <si>
    <t>adv: ADV: 24847151::3=&gt;3105893</t>
  </si>
  <si>
    <t>bxc: BXC: 4::6211787=&gt;6211791</t>
  </si>
  <si>
    <t>out: OUT: 6211791=&gt;7</t>
  </si>
  <si>
    <t>jnz: JNZ: 3105893=&gt;0</t>
  </si>
  <si>
    <t>bst: BST: 3105893=&gt;5</t>
  </si>
  <si>
    <t>bxl: BXL: 5::5=&gt;0</t>
  </si>
  <si>
    <t>cdv: CDV: 3105893::0=&gt;3105893</t>
  </si>
  <si>
    <t>bxl: BXL: 0::6=&gt;6</t>
  </si>
  <si>
    <t>adv: ADV: 3105893::3=&gt;388236</t>
  </si>
  <si>
    <t>bxc: BXC: 6::3105893=&gt;3105891</t>
  </si>
  <si>
    <t>out: OUT: 3105891=&gt;3</t>
  </si>
  <si>
    <t>jnz: JNZ: 388236=&gt;0</t>
  </si>
  <si>
    <t>bst: BST: 388236=&gt;4</t>
  </si>
  <si>
    <t>bxl: BXL: 4::5=&gt;1</t>
  </si>
  <si>
    <t>cdv: CDV: 388236::1=&gt;194118</t>
  </si>
  <si>
    <t>bxl: BXL: 1::6=&gt;7</t>
  </si>
  <si>
    <t>adv: ADV: 388236::3=&gt;48529</t>
  </si>
  <si>
    <t>bxc: BXC: 7::194118=&gt;194113</t>
  </si>
  <si>
    <t>out: OUT: 194113=&gt;1</t>
  </si>
  <si>
    <t>jnz: JNZ: 48529=&gt;0</t>
  </si>
  <si>
    <t>bst: BST: 48529=&gt;1</t>
  </si>
  <si>
    <t>bxl: BXL: 1::5=&gt;4</t>
  </si>
  <si>
    <t>cdv: CDV: 48529::4=&gt;3033</t>
  </si>
  <si>
    <t>bxl: BXL: 4::6=&gt;2</t>
  </si>
  <si>
    <t>adv: ADV: 48529::3=&gt;6066</t>
  </si>
  <si>
    <t>bxc: BXC: 2::3033=&gt;3035</t>
  </si>
  <si>
    <t>out: OUT: 3035=&gt;3</t>
  </si>
  <si>
    <t>jnz: JNZ: 6066=&gt;0</t>
  </si>
  <si>
    <t>bst: BST: 6066=&gt;2</t>
  </si>
  <si>
    <t>bxl: BXL: 2::5=&gt;7</t>
  </si>
  <si>
    <t>cdv: CDV: 6066::7=&gt;47</t>
  </si>
  <si>
    <t>bxl: BXL: 7::6=&gt;1</t>
  </si>
  <si>
    <t>adv: ADV: 6066::3=&gt;758</t>
  </si>
  <si>
    <t>bxc: BXC: 1::47=&gt;46</t>
  </si>
  <si>
    <t>out: OUT: 46=&gt;6</t>
  </si>
  <si>
    <t>jnz: JNZ: 758=&gt;0</t>
  </si>
  <si>
    <t>bst: BST: 758=&gt;6</t>
  </si>
  <si>
    <t>bxl: BXL: 6::5=&gt;3</t>
  </si>
  <si>
    <t>cdv: CDV: 758::3=&gt;94</t>
  </si>
  <si>
    <t>bxl: BXL: 3::6=&gt;5</t>
  </si>
  <si>
    <t>adv: ADV: 758::3=&gt;94</t>
  </si>
  <si>
    <t>bxc: BXC: 5::94=&gt;91</t>
  </si>
  <si>
    <t>out: OUT: 91=&gt;3</t>
  </si>
  <si>
    <t>jnz: JNZ: 94=&gt;0</t>
  </si>
  <si>
    <t>bst: BST: 94=&gt;6</t>
  </si>
  <si>
    <t>cdv: CDV: 94::3=&gt;11</t>
  </si>
  <si>
    <t>adv: ADV: 94::3=&gt;11</t>
  </si>
  <si>
    <t>bxc: BXC: 5::11=&gt;14</t>
  </si>
  <si>
    <t>out: OUT: 14=&gt;6</t>
  </si>
  <si>
    <t>jnz: JNZ: 11=&gt;0</t>
  </si>
  <si>
    <t>bst: BST: 11=&gt;3</t>
  </si>
  <si>
    <t>bxl: BXL: 3::5=&gt;6</t>
  </si>
  <si>
    <t>cdv: CDV: 11::6=&gt;0</t>
  </si>
  <si>
    <t>bxl: BXL: 6::6=&gt;0</t>
  </si>
  <si>
    <t>adv: ADV: 11::3=&gt;1</t>
  </si>
  <si>
    <t>bxc: BXC: 0::0=&gt;0</t>
  </si>
  <si>
    <t>jnz: JNZ: 1=&gt;0</t>
  </si>
  <si>
    <t>bst: BST: 1=&gt;1</t>
  </si>
  <si>
    <t>cdv: CDV: 1::4=&gt;0</t>
  </si>
  <si>
    <t>adv: ADV: 1::3=&gt;0</t>
  </si>
  <si>
    <t>bxc: BXC: 2::0=&gt;2</t>
  </si>
  <si>
    <t>out: OUT: 2=&gt;2</t>
  </si>
  <si>
    <t>Value:  24847151</t>
  </si>
  <si>
    <t>Input:  [2,4,1,5,7,5,1,6,0,3,4,0,5,5,3,0]</t>
  </si>
  <si>
    <t>Output: [7,3,1,3,6,3,6,0,2]</t>
  </si>
  <si>
    <t>B</t>
  </si>
  <si>
    <t>A</t>
  </si>
  <si>
    <t>3, 8</t>
  </si>
  <si>
    <t>adv: ADV: 1/8(3)=&gt;0</t>
  </si>
  <si>
    <t>adv: CDV: 1/16(4)=&gt;0</t>
  </si>
  <si>
    <t>bst: BST: 1=&gt;1 &lt;-- A</t>
  </si>
  <si>
    <t>C</t>
  </si>
  <si>
    <t>BXC</t>
  </si>
  <si>
    <t>OUT</t>
  </si>
  <si>
    <t>A%8-&gt;B</t>
  </si>
  <si>
    <t>XOR(B,5)-&gt;B</t>
  </si>
  <si>
    <t>A/2^B-&gt;C</t>
  </si>
  <si>
    <t>A/8-&gt;A</t>
  </si>
  <si>
    <t>XOR(B,6)-&gt;B</t>
  </si>
  <si>
    <t>3-&gt;8</t>
  </si>
  <si>
    <t>6</t>
  </si>
  <si>
    <t>5</t>
  </si>
  <si>
    <t>XOR(B,C)-&gt;B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</si>
</sst>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C7C1-62B2-4911-A1E1-B4C435841416}">
  <dimension ref="A1:C49"/>
  <sheetViews>
    <sheetView topLeftCell="A19" workbookViewId="0">
      <selection activeCell="C34" sqref="C34"/>
    </sheetView>
  </sheetViews>
  <sheetFormatPr defaultRowHeight="14.4" x14ac:dyDescent="0.3"/>
  <cols>
    <col min="1" max="1" width="24.77734375" bestFit="1" customWidth="1"/>
    <col min="2" max="2" width="4.44140625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  <c r="B4">
        <v>0</v>
      </c>
      <c r="C4">
        <v>14680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0</v>
      </c>
    </row>
    <row r="8" spans="1:3" x14ac:dyDescent="0.3">
      <c r="A8" t="s">
        <v>6</v>
      </c>
    </row>
    <row r="9" spans="1:3" x14ac:dyDescent="0.3">
      <c r="A9" t="s">
        <v>2</v>
      </c>
    </row>
    <row r="10" spans="1:3" x14ac:dyDescent="0.3">
      <c r="A10" t="s">
        <v>7</v>
      </c>
      <c r="B10">
        <v>3</v>
      </c>
      <c r="C10">
        <v>1835</v>
      </c>
    </row>
    <row r="11" spans="1:3" x14ac:dyDescent="0.3">
      <c r="A11" t="s">
        <v>4</v>
      </c>
    </row>
    <row r="12" spans="1:3" x14ac:dyDescent="0.3">
      <c r="A12" t="s">
        <v>8</v>
      </c>
    </row>
    <row r="13" spans="1:3" x14ac:dyDescent="0.3">
      <c r="A13" t="s">
        <v>0</v>
      </c>
    </row>
    <row r="14" spans="1:3" x14ac:dyDescent="0.3">
      <c r="A14" t="s">
        <v>9</v>
      </c>
      <c r="C14">
        <v>1832</v>
      </c>
    </row>
    <row r="15" spans="1:3" x14ac:dyDescent="0.3">
      <c r="A15" t="s">
        <v>2</v>
      </c>
    </row>
    <row r="16" spans="1:3" x14ac:dyDescent="0.3">
      <c r="A16" t="s">
        <v>10</v>
      </c>
      <c r="B16">
        <v>5</v>
      </c>
      <c r="C16">
        <v>229</v>
      </c>
    </row>
    <row r="17" spans="1:3" x14ac:dyDescent="0.3">
      <c r="A17" t="s">
        <v>4</v>
      </c>
    </row>
    <row r="18" spans="1:3" x14ac:dyDescent="0.3">
      <c r="A18" t="s">
        <v>11</v>
      </c>
    </row>
    <row r="19" spans="1:3" x14ac:dyDescent="0.3">
      <c r="A19" t="s">
        <v>0</v>
      </c>
    </row>
    <row r="20" spans="1:3" x14ac:dyDescent="0.3">
      <c r="A20" t="s">
        <v>12</v>
      </c>
      <c r="C20">
        <v>224</v>
      </c>
    </row>
    <row r="21" spans="1:3" x14ac:dyDescent="0.3">
      <c r="A21" t="s">
        <v>2</v>
      </c>
    </row>
    <row r="22" spans="1:3" x14ac:dyDescent="0.3">
      <c r="A22" t="s">
        <v>13</v>
      </c>
      <c r="B22">
        <v>4</v>
      </c>
      <c r="C22">
        <v>28</v>
      </c>
    </row>
    <row r="23" spans="1:3" x14ac:dyDescent="0.3">
      <c r="A23" t="s">
        <v>4</v>
      </c>
    </row>
    <row r="24" spans="1:3" x14ac:dyDescent="0.3">
      <c r="A24" t="s">
        <v>14</v>
      </c>
    </row>
    <row r="25" spans="1:3" x14ac:dyDescent="0.3">
      <c r="A25" t="s">
        <v>0</v>
      </c>
    </row>
    <row r="26" spans="1:3" x14ac:dyDescent="0.3">
      <c r="A26" t="s">
        <v>15</v>
      </c>
      <c r="C26">
        <v>24</v>
      </c>
    </row>
    <row r="27" spans="1:3" x14ac:dyDescent="0.3">
      <c r="A27" t="s">
        <v>2</v>
      </c>
    </row>
    <row r="28" spans="1:3" x14ac:dyDescent="0.3">
      <c r="A28" t="s">
        <v>16</v>
      </c>
      <c r="B28">
        <v>3</v>
      </c>
      <c r="C28">
        <v>3</v>
      </c>
    </row>
    <row r="29" spans="1:3" x14ac:dyDescent="0.3">
      <c r="A29" t="s">
        <v>4</v>
      </c>
    </row>
    <row r="30" spans="1:3" x14ac:dyDescent="0.3">
      <c r="A30" t="s">
        <v>17</v>
      </c>
    </row>
    <row r="31" spans="1:3" x14ac:dyDescent="0.3">
      <c r="A31" t="s">
        <v>0</v>
      </c>
    </row>
    <row r="32" spans="1:3" x14ac:dyDescent="0.3">
      <c r="A32" t="s">
        <v>18</v>
      </c>
    </row>
    <row r="33" spans="1:3" x14ac:dyDescent="0.3">
      <c r="A33" t="s">
        <v>2</v>
      </c>
    </row>
    <row r="34" spans="1:3" x14ac:dyDescent="0.3">
      <c r="A34" t="s">
        <v>19</v>
      </c>
      <c r="B34">
        <v>0</v>
      </c>
      <c r="C34">
        <v>0</v>
      </c>
    </row>
    <row r="35" spans="1:3" x14ac:dyDescent="0.3">
      <c r="A35" t="s">
        <v>4</v>
      </c>
    </row>
    <row r="37" spans="1:3" x14ac:dyDescent="0.3">
      <c r="B37">
        <v>0</v>
      </c>
      <c r="C37">
        <v>1</v>
      </c>
    </row>
    <row r="38" spans="1:3" x14ac:dyDescent="0.3">
      <c r="B38">
        <v>1</v>
      </c>
      <c r="C38">
        <v>2</v>
      </c>
    </row>
    <row r="39" spans="1:3" x14ac:dyDescent="0.3">
      <c r="B39">
        <v>2</v>
      </c>
      <c r="C39">
        <v>4</v>
      </c>
    </row>
    <row r="40" spans="1:3" x14ac:dyDescent="0.3">
      <c r="B40">
        <v>3</v>
      </c>
      <c r="C40">
        <v>8</v>
      </c>
    </row>
    <row r="42" spans="1:3" x14ac:dyDescent="0.3">
      <c r="A42" t="s">
        <v>20</v>
      </c>
      <c r="C42">
        <v>8</v>
      </c>
    </row>
    <row r="43" spans="1:3" x14ac:dyDescent="0.3">
      <c r="C43">
        <v>0</v>
      </c>
    </row>
    <row r="44" spans="1:3" x14ac:dyDescent="0.3">
      <c r="B44">
        <v>0</v>
      </c>
      <c r="C44">
        <f>C43*$C$42+B45</f>
        <v>3</v>
      </c>
    </row>
    <row r="45" spans="1:3" x14ac:dyDescent="0.3">
      <c r="B45">
        <v>3</v>
      </c>
      <c r="C45">
        <f t="shared" ref="C45:C48" si="0">C44*$C$42+B46</f>
        <v>28</v>
      </c>
    </row>
    <row r="46" spans="1:3" x14ac:dyDescent="0.3">
      <c r="B46">
        <v>4</v>
      </c>
      <c r="C46">
        <f t="shared" si="0"/>
        <v>229</v>
      </c>
    </row>
    <row r="47" spans="1:3" x14ac:dyDescent="0.3">
      <c r="B47">
        <v>5</v>
      </c>
      <c r="C47">
        <f t="shared" si="0"/>
        <v>1835</v>
      </c>
    </row>
    <row r="48" spans="1:3" x14ac:dyDescent="0.3">
      <c r="B48">
        <v>3</v>
      </c>
      <c r="C48">
        <f t="shared" si="0"/>
        <v>14680</v>
      </c>
    </row>
    <row r="49" spans="2:3" x14ac:dyDescent="0.3">
      <c r="B49">
        <v>0</v>
      </c>
      <c r="C49">
        <f>C48*$C$42+B50</f>
        <v>117440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A935-B8D7-4EDC-80AD-6CB3BB12D4BF}">
  <dimension ref="A1:B138"/>
  <sheetViews>
    <sheetView topLeftCell="A121" workbookViewId="0">
      <selection activeCell="C135" sqref="C135"/>
    </sheetView>
  </sheetViews>
  <sheetFormatPr defaultRowHeight="14.4" x14ac:dyDescent="0.3"/>
  <cols>
    <col min="1" max="1" width="32.33203125" customWidth="1"/>
  </cols>
  <sheetData>
    <row r="1" spans="1:2" x14ac:dyDescent="0.3">
      <c r="A1" t="s">
        <v>2</v>
      </c>
    </row>
    <row r="2" spans="1:2" x14ac:dyDescent="0.3">
      <c r="A2" t="s">
        <v>21</v>
      </c>
    </row>
    <row r="3" spans="1:2" x14ac:dyDescent="0.3">
      <c r="A3" t="s">
        <v>22</v>
      </c>
    </row>
    <row r="4" spans="1:2" x14ac:dyDescent="0.3">
      <c r="A4" t="s">
        <v>23</v>
      </c>
    </row>
    <row r="5" spans="1:2" x14ac:dyDescent="0.3">
      <c r="A5" t="s">
        <v>24</v>
      </c>
    </row>
    <row r="6" spans="1:2" x14ac:dyDescent="0.3">
      <c r="A6" t="s">
        <v>25</v>
      </c>
    </row>
    <row r="7" spans="1:2" x14ac:dyDescent="0.3">
      <c r="A7" t="s">
        <v>26</v>
      </c>
    </row>
    <row r="8" spans="1:2" x14ac:dyDescent="0.3">
      <c r="A8" t="s">
        <v>27</v>
      </c>
    </row>
    <row r="9" spans="1:2" x14ac:dyDescent="0.3">
      <c r="A9" t="s">
        <v>0</v>
      </c>
    </row>
    <row r="10" spans="1:2" x14ac:dyDescent="0.3">
      <c r="A10" t="s">
        <v>28</v>
      </c>
    </row>
    <row r="11" spans="1:2" x14ac:dyDescent="0.3">
      <c r="A11" t="s">
        <v>29</v>
      </c>
    </row>
    <row r="12" spans="1:2" x14ac:dyDescent="0.3">
      <c r="A12" t="s">
        <v>24</v>
      </c>
    </row>
    <row r="13" spans="1:2" x14ac:dyDescent="0.3">
      <c r="A13" t="s">
        <v>30</v>
      </c>
      <c r="B13">
        <v>7</v>
      </c>
    </row>
    <row r="14" spans="1:2" x14ac:dyDescent="0.3">
      <c r="A14" t="s">
        <v>4</v>
      </c>
    </row>
    <row r="15" spans="1:2" x14ac:dyDescent="0.3">
      <c r="A15" t="s">
        <v>31</v>
      </c>
    </row>
    <row r="16" spans="1:2" x14ac:dyDescent="0.3">
      <c r="A16" t="s">
        <v>2</v>
      </c>
    </row>
    <row r="17" spans="1:2" x14ac:dyDescent="0.3">
      <c r="A17" t="s">
        <v>32</v>
      </c>
    </row>
    <row r="18" spans="1:2" x14ac:dyDescent="0.3">
      <c r="A18" t="s">
        <v>22</v>
      </c>
    </row>
    <row r="19" spans="1:2" x14ac:dyDescent="0.3">
      <c r="A19" t="s">
        <v>33</v>
      </c>
    </row>
    <row r="20" spans="1:2" x14ac:dyDescent="0.3">
      <c r="A20" t="s">
        <v>24</v>
      </c>
    </row>
    <row r="21" spans="1:2" x14ac:dyDescent="0.3">
      <c r="A21" t="s">
        <v>34</v>
      </c>
    </row>
    <row r="22" spans="1:2" x14ac:dyDescent="0.3">
      <c r="A22" t="s">
        <v>26</v>
      </c>
    </row>
    <row r="23" spans="1:2" x14ac:dyDescent="0.3">
      <c r="A23" t="s">
        <v>35</v>
      </c>
    </row>
    <row r="24" spans="1:2" x14ac:dyDescent="0.3">
      <c r="A24" t="s">
        <v>0</v>
      </c>
    </row>
    <row r="25" spans="1:2" x14ac:dyDescent="0.3">
      <c r="A25" t="s">
        <v>36</v>
      </c>
    </row>
    <row r="26" spans="1:2" x14ac:dyDescent="0.3">
      <c r="A26" t="s">
        <v>37</v>
      </c>
    </row>
    <row r="27" spans="1:2" x14ac:dyDescent="0.3">
      <c r="A27" t="s">
        <v>24</v>
      </c>
    </row>
    <row r="28" spans="1:2" x14ac:dyDescent="0.3">
      <c r="A28" t="s">
        <v>38</v>
      </c>
      <c r="B28">
        <v>3</v>
      </c>
    </row>
    <row r="29" spans="1:2" x14ac:dyDescent="0.3">
      <c r="A29" t="s">
        <v>4</v>
      </c>
    </row>
    <row r="30" spans="1:2" x14ac:dyDescent="0.3">
      <c r="A30" t="s">
        <v>39</v>
      </c>
    </row>
    <row r="31" spans="1:2" x14ac:dyDescent="0.3">
      <c r="A31" t="s">
        <v>2</v>
      </c>
    </row>
    <row r="32" spans="1:2" x14ac:dyDescent="0.3">
      <c r="A32" t="s">
        <v>40</v>
      </c>
    </row>
    <row r="33" spans="1:2" x14ac:dyDescent="0.3">
      <c r="A33" t="s">
        <v>22</v>
      </c>
    </row>
    <row r="34" spans="1:2" x14ac:dyDescent="0.3">
      <c r="A34" t="s">
        <v>41</v>
      </c>
    </row>
    <row r="35" spans="1:2" x14ac:dyDescent="0.3">
      <c r="A35" t="s">
        <v>24</v>
      </c>
    </row>
    <row r="36" spans="1:2" x14ac:dyDescent="0.3">
      <c r="A36" t="s">
        <v>42</v>
      </c>
    </row>
    <row r="37" spans="1:2" x14ac:dyDescent="0.3">
      <c r="A37" t="s">
        <v>26</v>
      </c>
    </row>
    <row r="38" spans="1:2" x14ac:dyDescent="0.3">
      <c r="A38" t="s">
        <v>43</v>
      </c>
    </row>
    <row r="39" spans="1:2" x14ac:dyDescent="0.3">
      <c r="A39" t="s">
        <v>0</v>
      </c>
    </row>
    <row r="40" spans="1:2" x14ac:dyDescent="0.3">
      <c r="A40" t="s">
        <v>44</v>
      </c>
    </row>
    <row r="41" spans="1:2" x14ac:dyDescent="0.3">
      <c r="A41" t="s">
        <v>45</v>
      </c>
    </row>
    <row r="42" spans="1:2" x14ac:dyDescent="0.3">
      <c r="A42" t="s">
        <v>24</v>
      </c>
    </row>
    <row r="43" spans="1:2" x14ac:dyDescent="0.3">
      <c r="A43" t="s">
        <v>46</v>
      </c>
      <c r="B43">
        <v>1</v>
      </c>
    </row>
    <row r="44" spans="1:2" x14ac:dyDescent="0.3">
      <c r="A44" t="s">
        <v>4</v>
      </c>
    </row>
    <row r="45" spans="1:2" x14ac:dyDescent="0.3">
      <c r="A45" t="s">
        <v>47</v>
      </c>
    </row>
    <row r="46" spans="1:2" x14ac:dyDescent="0.3">
      <c r="A46" t="s">
        <v>2</v>
      </c>
    </row>
    <row r="47" spans="1:2" x14ac:dyDescent="0.3">
      <c r="A47" t="s">
        <v>48</v>
      </c>
    </row>
    <row r="48" spans="1:2" x14ac:dyDescent="0.3">
      <c r="A48" t="s">
        <v>22</v>
      </c>
    </row>
    <row r="49" spans="1:2" x14ac:dyDescent="0.3">
      <c r="A49" t="s">
        <v>49</v>
      </c>
    </row>
    <row r="50" spans="1:2" x14ac:dyDescent="0.3">
      <c r="A50" t="s">
        <v>24</v>
      </c>
    </row>
    <row r="51" spans="1:2" x14ac:dyDescent="0.3">
      <c r="A51" t="s">
        <v>50</v>
      </c>
    </row>
    <row r="52" spans="1:2" x14ac:dyDescent="0.3">
      <c r="A52" t="s">
        <v>26</v>
      </c>
    </row>
    <row r="53" spans="1:2" x14ac:dyDescent="0.3">
      <c r="A53" t="s">
        <v>51</v>
      </c>
    </row>
    <row r="54" spans="1:2" x14ac:dyDescent="0.3">
      <c r="A54" t="s">
        <v>0</v>
      </c>
    </row>
    <row r="55" spans="1:2" x14ac:dyDescent="0.3">
      <c r="A55" t="s">
        <v>52</v>
      </c>
    </row>
    <row r="56" spans="1:2" x14ac:dyDescent="0.3">
      <c r="A56" t="s">
        <v>53</v>
      </c>
    </row>
    <row r="57" spans="1:2" x14ac:dyDescent="0.3">
      <c r="A57" t="s">
        <v>24</v>
      </c>
    </row>
    <row r="58" spans="1:2" x14ac:dyDescent="0.3">
      <c r="A58" t="s">
        <v>54</v>
      </c>
      <c r="B58">
        <v>3</v>
      </c>
    </row>
    <row r="59" spans="1:2" x14ac:dyDescent="0.3">
      <c r="A59" t="s">
        <v>4</v>
      </c>
    </row>
    <row r="60" spans="1:2" x14ac:dyDescent="0.3">
      <c r="A60" t="s">
        <v>55</v>
      </c>
    </row>
    <row r="61" spans="1:2" x14ac:dyDescent="0.3">
      <c r="A61" t="s">
        <v>2</v>
      </c>
    </row>
    <row r="62" spans="1:2" x14ac:dyDescent="0.3">
      <c r="A62" t="s">
        <v>56</v>
      </c>
    </row>
    <row r="63" spans="1:2" x14ac:dyDescent="0.3">
      <c r="A63" t="s">
        <v>22</v>
      </c>
    </row>
    <row r="64" spans="1:2" x14ac:dyDescent="0.3">
      <c r="A64" t="s">
        <v>57</v>
      </c>
    </row>
    <row r="65" spans="1:2" x14ac:dyDescent="0.3">
      <c r="A65" t="s">
        <v>24</v>
      </c>
    </row>
    <row r="66" spans="1:2" x14ac:dyDescent="0.3">
      <c r="A66" t="s">
        <v>58</v>
      </c>
    </row>
    <row r="67" spans="1:2" x14ac:dyDescent="0.3">
      <c r="A67" t="s">
        <v>26</v>
      </c>
    </row>
    <row r="68" spans="1:2" x14ac:dyDescent="0.3">
      <c r="A68" t="s">
        <v>59</v>
      </c>
    </row>
    <row r="69" spans="1:2" x14ac:dyDescent="0.3">
      <c r="A69" t="s">
        <v>0</v>
      </c>
    </row>
    <row r="70" spans="1:2" x14ac:dyDescent="0.3">
      <c r="A70" t="s">
        <v>60</v>
      </c>
    </row>
    <row r="71" spans="1:2" x14ac:dyDescent="0.3">
      <c r="A71" t="s">
        <v>61</v>
      </c>
    </row>
    <row r="72" spans="1:2" x14ac:dyDescent="0.3">
      <c r="A72" t="s">
        <v>24</v>
      </c>
    </row>
    <row r="73" spans="1:2" x14ac:dyDescent="0.3">
      <c r="A73" t="s">
        <v>62</v>
      </c>
      <c r="B73">
        <v>6</v>
      </c>
    </row>
    <row r="74" spans="1:2" x14ac:dyDescent="0.3">
      <c r="A74" t="s">
        <v>4</v>
      </c>
    </row>
    <row r="75" spans="1:2" x14ac:dyDescent="0.3">
      <c r="A75" t="s">
        <v>63</v>
      </c>
    </row>
    <row r="76" spans="1:2" x14ac:dyDescent="0.3">
      <c r="A76" t="s">
        <v>2</v>
      </c>
    </row>
    <row r="77" spans="1:2" x14ac:dyDescent="0.3">
      <c r="A77" t="s">
        <v>64</v>
      </c>
    </row>
    <row r="78" spans="1:2" x14ac:dyDescent="0.3">
      <c r="A78" t="s">
        <v>22</v>
      </c>
    </row>
    <row r="79" spans="1:2" x14ac:dyDescent="0.3">
      <c r="A79" t="s">
        <v>65</v>
      </c>
    </row>
    <row r="80" spans="1:2" x14ac:dyDescent="0.3">
      <c r="A80" t="s">
        <v>24</v>
      </c>
    </row>
    <row r="81" spans="1:2" x14ac:dyDescent="0.3">
      <c r="A81" t="s">
        <v>66</v>
      </c>
    </row>
    <row r="82" spans="1:2" x14ac:dyDescent="0.3">
      <c r="A82" t="s">
        <v>26</v>
      </c>
    </row>
    <row r="83" spans="1:2" x14ac:dyDescent="0.3">
      <c r="A83" t="s">
        <v>67</v>
      </c>
    </row>
    <row r="84" spans="1:2" x14ac:dyDescent="0.3">
      <c r="A84" t="s">
        <v>0</v>
      </c>
    </row>
    <row r="85" spans="1:2" x14ac:dyDescent="0.3">
      <c r="A85" t="s">
        <v>68</v>
      </c>
    </row>
    <row r="86" spans="1:2" x14ac:dyDescent="0.3">
      <c r="A86" t="s">
        <v>69</v>
      </c>
    </row>
    <row r="87" spans="1:2" x14ac:dyDescent="0.3">
      <c r="A87" t="s">
        <v>24</v>
      </c>
    </row>
    <row r="88" spans="1:2" x14ac:dyDescent="0.3">
      <c r="A88" t="s">
        <v>70</v>
      </c>
      <c r="B88">
        <v>3</v>
      </c>
    </row>
    <row r="89" spans="1:2" x14ac:dyDescent="0.3">
      <c r="A89" t="s">
        <v>4</v>
      </c>
    </row>
    <row r="90" spans="1:2" x14ac:dyDescent="0.3">
      <c r="A90" t="s">
        <v>71</v>
      </c>
    </row>
    <row r="91" spans="1:2" x14ac:dyDescent="0.3">
      <c r="A91" t="s">
        <v>2</v>
      </c>
    </row>
    <row r="92" spans="1:2" x14ac:dyDescent="0.3">
      <c r="A92" t="s">
        <v>72</v>
      </c>
    </row>
    <row r="93" spans="1:2" x14ac:dyDescent="0.3">
      <c r="A93" t="s">
        <v>22</v>
      </c>
    </row>
    <row r="94" spans="1:2" x14ac:dyDescent="0.3">
      <c r="A94" t="s">
        <v>65</v>
      </c>
    </row>
    <row r="95" spans="1:2" x14ac:dyDescent="0.3">
      <c r="A95" t="s">
        <v>24</v>
      </c>
    </row>
    <row r="96" spans="1:2" x14ac:dyDescent="0.3">
      <c r="A96" t="s">
        <v>73</v>
      </c>
    </row>
    <row r="97" spans="1:2" x14ac:dyDescent="0.3">
      <c r="A97" t="s">
        <v>26</v>
      </c>
    </row>
    <row r="98" spans="1:2" x14ac:dyDescent="0.3">
      <c r="A98" t="s">
        <v>67</v>
      </c>
    </row>
    <row r="99" spans="1:2" x14ac:dyDescent="0.3">
      <c r="A99" t="s">
        <v>0</v>
      </c>
    </row>
    <row r="100" spans="1:2" x14ac:dyDescent="0.3">
      <c r="A100" t="s">
        <v>74</v>
      </c>
    </row>
    <row r="101" spans="1:2" x14ac:dyDescent="0.3">
      <c r="A101" t="s">
        <v>75</v>
      </c>
    </row>
    <row r="102" spans="1:2" x14ac:dyDescent="0.3">
      <c r="A102" t="s">
        <v>24</v>
      </c>
    </row>
    <row r="103" spans="1:2" x14ac:dyDescent="0.3">
      <c r="A103" t="s">
        <v>76</v>
      </c>
      <c r="B103">
        <v>6</v>
      </c>
    </row>
    <row r="104" spans="1:2" x14ac:dyDescent="0.3">
      <c r="A104" t="s">
        <v>4</v>
      </c>
    </row>
    <row r="105" spans="1:2" x14ac:dyDescent="0.3">
      <c r="A105" t="s">
        <v>77</v>
      </c>
    </row>
    <row r="106" spans="1:2" x14ac:dyDescent="0.3">
      <c r="A106" t="s">
        <v>2</v>
      </c>
    </row>
    <row r="107" spans="1:2" x14ac:dyDescent="0.3">
      <c r="A107" t="s">
        <v>78</v>
      </c>
    </row>
    <row r="108" spans="1:2" x14ac:dyDescent="0.3">
      <c r="A108" t="s">
        <v>22</v>
      </c>
    </row>
    <row r="109" spans="1:2" x14ac:dyDescent="0.3">
      <c r="A109" t="s">
        <v>79</v>
      </c>
    </row>
    <row r="110" spans="1:2" x14ac:dyDescent="0.3">
      <c r="A110" t="s">
        <v>24</v>
      </c>
    </row>
    <row r="111" spans="1:2" x14ac:dyDescent="0.3">
      <c r="A111" t="s">
        <v>80</v>
      </c>
    </row>
    <row r="112" spans="1:2" x14ac:dyDescent="0.3">
      <c r="A112" t="s">
        <v>26</v>
      </c>
    </row>
    <row r="113" spans="1:2" x14ac:dyDescent="0.3">
      <c r="A113" t="s">
        <v>81</v>
      </c>
    </row>
    <row r="114" spans="1:2" x14ac:dyDescent="0.3">
      <c r="A114" t="s">
        <v>0</v>
      </c>
    </row>
    <row r="115" spans="1:2" x14ac:dyDescent="0.3">
      <c r="A115" t="s">
        <v>82</v>
      </c>
    </row>
    <row r="116" spans="1:2" x14ac:dyDescent="0.3">
      <c r="A116" t="s">
        <v>83</v>
      </c>
    </row>
    <row r="117" spans="1:2" x14ac:dyDescent="0.3">
      <c r="A117" t="s">
        <v>24</v>
      </c>
    </row>
    <row r="118" spans="1:2" x14ac:dyDescent="0.3">
      <c r="A118" t="s">
        <v>19</v>
      </c>
      <c r="B118">
        <v>0</v>
      </c>
    </row>
    <row r="119" spans="1:2" x14ac:dyDescent="0.3">
      <c r="A119" t="s">
        <v>4</v>
      </c>
    </row>
    <row r="120" spans="1:2" x14ac:dyDescent="0.3">
      <c r="A120" t="s">
        <v>84</v>
      </c>
    </row>
    <row r="121" spans="1:2" x14ac:dyDescent="0.3">
      <c r="A121" t="s">
        <v>2</v>
      </c>
    </row>
    <row r="122" spans="1:2" x14ac:dyDescent="0.3">
      <c r="A122" t="s">
        <v>85</v>
      </c>
    </row>
    <row r="123" spans="1:2" x14ac:dyDescent="0.3">
      <c r="A123" t="s">
        <v>22</v>
      </c>
    </row>
    <row r="124" spans="1:2" x14ac:dyDescent="0.3">
      <c r="A124" t="s">
        <v>49</v>
      </c>
    </row>
    <row r="125" spans="1:2" x14ac:dyDescent="0.3">
      <c r="A125" t="s">
        <v>24</v>
      </c>
    </row>
    <row r="126" spans="1:2" x14ac:dyDescent="0.3">
      <c r="A126" t="s">
        <v>86</v>
      </c>
    </row>
    <row r="127" spans="1:2" x14ac:dyDescent="0.3">
      <c r="A127" t="s">
        <v>26</v>
      </c>
    </row>
    <row r="128" spans="1:2" x14ac:dyDescent="0.3">
      <c r="A128" t="s">
        <v>51</v>
      </c>
    </row>
    <row r="129" spans="1:2" x14ac:dyDescent="0.3">
      <c r="A129" t="s">
        <v>0</v>
      </c>
    </row>
    <row r="130" spans="1:2" x14ac:dyDescent="0.3">
      <c r="A130" t="s">
        <v>87</v>
      </c>
    </row>
    <row r="131" spans="1:2" x14ac:dyDescent="0.3">
      <c r="A131" t="s">
        <v>88</v>
      </c>
    </row>
    <row r="132" spans="1:2" x14ac:dyDescent="0.3">
      <c r="A132" t="s">
        <v>24</v>
      </c>
    </row>
    <row r="133" spans="1:2" x14ac:dyDescent="0.3">
      <c r="A133" t="s">
        <v>89</v>
      </c>
      <c r="B133">
        <v>2</v>
      </c>
    </row>
    <row r="134" spans="1:2" x14ac:dyDescent="0.3">
      <c r="A134" t="s">
        <v>4</v>
      </c>
    </row>
    <row r="136" spans="1:2" x14ac:dyDescent="0.3">
      <c r="A136" t="s">
        <v>90</v>
      </c>
    </row>
    <row r="137" spans="1:2" x14ac:dyDescent="0.3">
      <c r="A137" t="s">
        <v>91</v>
      </c>
    </row>
    <row r="138" spans="1:2" x14ac:dyDescent="0.3">
      <c r="A138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A018-A2C9-4DC2-8071-2B88268EA816}">
  <dimension ref="A2:B7"/>
  <sheetViews>
    <sheetView workbookViewId="0">
      <selection activeCell="B3" sqref="B3"/>
    </sheetView>
  </sheetViews>
  <sheetFormatPr defaultRowHeight="14.4" x14ac:dyDescent="0.3"/>
  <sheetData>
    <row r="2" spans="1:2" x14ac:dyDescent="0.3">
      <c r="B2">
        <v>8</v>
      </c>
    </row>
    <row r="3" spans="1:2" x14ac:dyDescent="0.3">
      <c r="A3">
        <v>2</v>
      </c>
      <c r="B3">
        <f>POWER(8,A3)</f>
        <v>64</v>
      </c>
    </row>
    <row r="4" spans="1:2" x14ac:dyDescent="0.3">
      <c r="A4">
        <v>3</v>
      </c>
      <c r="B4">
        <f t="shared" ref="B4:B7" si="0">POWER(8,A4)</f>
        <v>512</v>
      </c>
    </row>
    <row r="5" spans="1:2" x14ac:dyDescent="0.3">
      <c r="A5">
        <v>4</v>
      </c>
      <c r="B5">
        <f t="shared" si="0"/>
        <v>4096</v>
      </c>
    </row>
    <row r="6" spans="1:2" x14ac:dyDescent="0.3">
      <c r="A6">
        <v>5</v>
      </c>
      <c r="B6">
        <f t="shared" si="0"/>
        <v>32768</v>
      </c>
    </row>
    <row r="7" spans="1:2" x14ac:dyDescent="0.3">
      <c r="A7">
        <v>6</v>
      </c>
      <c r="B7">
        <f t="shared" si="0"/>
        <v>262144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5DB1-7E1D-4FB4-80FC-8166D3C4EC99}">
  <dimension ref="A1:N65"/>
  <sheetViews>
    <sheetView topLeftCell="C26" workbookViewId="0">
      <selection activeCell="J41" sqref="J41"/>
    </sheetView>
  </sheetViews>
  <sheetFormatPr defaultRowHeight="14.4" x14ac:dyDescent="0.3"/>
  <cols>
    <col min="1" max="1" width="27.109375" customWidth="1"/>
    <col min="3" max="3" width="27.109375" customWidth="1"/>
    <col min="5" max="5" width="27.109375" customWidth="1"/>
    <col min="7" max="7" width="27.109375" customWidth="1"/>
    <col min="9" max="9" width="27.109375" customWidth="1"/>
    <col min="11" max="11" width="27.109375" customWidth="1"/>
    <col min="13" max="13" width="27.109375" customWidth="1"/>
  </cols>
  <sheetData>
    <row r="1" spans="1:2" x14ac:dyDescent="0.3">
      <c r="A1" t="s">
        <v>2</v>
      </c>
    </row>
    <row r="2" spans="1:2" x14ac:dyDescent="0.3">
      <c r="A2" t="s">
        <v>21</v>
      </c>
    </row>
    <row r="3" spans="1:2" x14ac:dyDescent="0.3">
      <c r="A3" t="s">
        <v>22</v>
      </c>
    </row>
    <row r="4" spans="1:2" x14ac:dyDescent="0.3">
      <c r="A4" t="s">
        <v>23</v>
      </c>
    </row>
    <row r="5" spans="1:2" x14ac:dyDescent="0.3">
      <c r="A5" t="s">
        <v>24</v>
      </c>
    </row>
    <row r="6" spans="1:2" x14ac:dyDescent="0.3">
      <c r="A6" t="s">
        <v>25</v>
      </c>
    </row>
    <row r="7" spans="1:2" x14ac:dyDescent="0.3">
      <c r="A7" t="s">
        <v>26</v>
      </c>
    </row>
    <row r="8" spans="1:2" x14ac:dyDescent="0.3">
      <c r="A8" t="s">
        <v>27</v>
      </c>
    </row>
    <row r="9" spans="1:2" x14ac:dyDescent="0.3">
      <c r="A9" t="s">
        <v>0</v>
      </c>
    </row>
    <row r="10" spans="1:2" x14ac:dyDescent="0.3">
      <c r="A10" t="s">
        <v>28</v>
      </c>
    </row>
    <row r="11" spans="1:2" x14ac:dyDescent="0.3">
      <c r="A11" t="s">
        <v>29</v>
      </c>
    </row>
    <row r="12" spans="1:2" x14ac:dyDescent="0.3">
      <c r="A12" t="s">
        <v>24</v>
      </c>
    </row>
    <row r="13" spans="1:2" x14ac:dyDescent="0.3">
      <c r="A13" t="s">
        <v>30</v>
      </c>
      <c r="B13">
        <v>7</v>
      </c>
    </row>
    <row r="14" spans="1:2" x14ac:dyDescent="0.3">
      <c r="A14" t="s">
        <v>4</v>
      </c>
    </row>
    <row r="15" spans="1:2" x14ac:dyDescent="0.3">
      <c r="A15" t="s">
        <v>31</v>
      </c>
    </row>
    <row r="16" spans="1:2" x14ac:dyDescent="0.3">
      <c r="A16" t="s">
        <v>2</v>
      </c>
    </row>
    <row r="17" spans="1:13" x14ac:dyDescent="0.3">
      <c r="A17" t="s">
        <v>32</v>
      </c>
    </row>
    <row r="18" spans="1:13" x14ac:dyDescent="0.3">
      <c r="A18" t="s">
        <v>22</v>
      </c>
    </row>
    <row r="19" spans="1:13" x14ac:dyDescent="0.3">
      <c r="A19" t="s">
        <v>33</v>
      </c>
    </row>
    <row r="20" spans="1:13" x14ac:dyDescent="0.3">
      <c r="A20" t="s">
        <v>24</v>
      </c>
    </row>
    <row r="21" spans="1:13" x14ac:dyDescent="0.3">
      <c r="A21" t="s">
        <v>34</v>
      </c>
    </row>
    <row r="22" spans="1:13" x14ac:dyDescent="0.3">
      <c r="A22" t="s">
        <v>26</v>
      </c>
    </row>
    <row r="23" spans="1:13" x14ac:dyDescent="0.3">
      <c r="A23" t="s">
        <v>35</v>
      </c>
    </row>
    <row r="24" spans="1:13" x14ac:dyDescent="0.3">
      <c r="A24" t="s">
        <v>0</v>
      </c>
    </row>
    <row r="25" spans="1:13" x14ac:dyDescent="0.3">
      <c r="A25" t="s">
        <v>36</v>
      </c>
    </row>
    <row r="26" spans="1:13" x14ac:dyDescent="0.3">
      <c r="A26" t="s">
        <v>37</v>
      </c>
    </row>
    <row r="27" spans="1:13" x14ac:dyDescent="0.3">
      <c r="A27" t="s">
        <v>24</v>
      </c>
    </row>
    <row r="28" spans="1:13" x14ac:dyDescent="0.3">
      <c r="A28" t="s">
        <v>38</v>
      </c>
      <c r="B28">
        <v>3</v>
      </c>
    </row>
    <row r="29" spans="1:13" x14ac:dyDescent="0.3">
      <c r="F29">
        <f>11*8</f>
        <v>88</v>
      </c>
      <c r="H29">
        <f>F33*8</f>
        <v>752</v>
      </c>
      <c r="J29">
        <f>H33*8</f>
        <v>6064</v>
      </c>
    </row>
    <row r="32" spans="1:13" x14ac:dyDescent="0.3">
      <c r="A32" t="s">
        <v>2</v>
      </c>
      <c r="B32" t="s">
        <v>94</v>
      </c>
      <c r="C32" t="s">
        <v>2</v>
      </c>
      <c r="E32" t="s">
        <v>2</v>
      </c>
      <c r="G32" t="s">
        <v>2</v>
      </c>
      <c r="I32" t="s">
        <v>2</v>
      </c>
      <c r="K32" t="s">
        <v>2</v>
      </c>
      <c r="M32" t="s">
        <v>2</v>
      </c>
    </row>
    <row r="33" spans="1:14" x14ac:dyDescent="0.3">
      <c r="A33" t="s">
        <v>98</v>
      </c>
      <c r="B33">
        <f>0*8+B35</f>
        <v>1</v>
      </c>
      <c r="C33" t="s">
        <v>78</v>
      </c>
      <c r="D33">
        <f>B33*8+D35</f>
        <v>11</v>
      </c>
      <c r="E33" t="s">
        <v>72</v>
      </c>
      <c r="F33">
        <f>D33*8+F35</f>
        <v>94</v>
      </c>
      <c r="G33" t="s">
        <v>64</v>
      </c>
      <c r="H33">
        <f>F33*8+H35</f>
        <v>758</v>
      </c>
      <c r="I33" t="s">
        <v>56</v>
      </c>
      <c r="J33">
        <f>H33*8+J35</f>
        <v>6066</v>
      </c>
      <c r="K33" t="s">
        <v>48</v>
      </c>
      <c r="M33" t="s">
        <v>40</v>
      </c>
    </row>
    <row r="34" spans="1:14" x14ac:dyDescent="0.3">
      <c r="A34" t="s">
        <v>22</v>
      </c>
      <c r="B34">
        <v>5</v>
      </c>
      <c r="C34" t="s">
        <v>22</v>
      </c>
      <c r="D34">
        <v>5</v>
      </c>
      <c r="E34" t="s">
        <v>22</v>
      </c>
      <c r="F34">
        <v>5</v>
      </c>
      <c r="G34" t="s">
        <v>22</v>
      </c>
      <c r="H34">
        <v>5</v>
      </c>
      <c r="I34" t="s">
        <v>22</v>
      </c>
      <c r="J34">
        <v>5</v>
      </c>
      <c r="K34" t="s">
        <v>22</v>
      </c>
      <c r="M34" t="s">
        <v>22</v>
      </c>
    </row>
    <row r="35" spans="1:14" x14ac:dyDescent="0.3">
      <c r="A35" t="s">
        <v>49</v>
      </c>
      <c r="B35">
        <f>_xlfn.BITXOR(B39,B34)</f>
        <v>1</v>
      </c>
      <c r="C35" t="s">
        <v>79</v>
      </c>
      <c r="D35">
        <f>_xlfn.BITXOR(D39,D34)</f>
        <v>3</v>
      </c>
      <c r="E35" t="s">
        <v>65</v>
      </c>
      <c r="F35">
        <f>_xlfn.BITXOR(F39,F34)</f>
        <v>6</v>
      </c>
      <c r="G35" t="s">
        <v>65</v>
      </c>
      <c r="H35">
        <f>_xlfn.BITXOR(H39,H34)</f>
        <v>6</v>
      </c>
      <c r="I35" t="s">
        <v>57</v>
      </c>
      <c r="J35">
        <f>_xlfn.BITXOR(J39,J34)</f>
        <v>2</v>
      </c>
      <c r="K35" t="s">
        <v>49</v>
      </c>
      <c r="M35" t="s">
        <v>41</v>
      </c>
    </row>
    <row r="36" spans="1:14" x14ac:dyDescent="0.3">
      <c r="A36" t="s">
        <v>24</v>
      </c>
      <c r="B36" t="s">
        <v>93</v>
      </c>
      <c r="C36" t="s">
        <v>24</v>
      </c>
      <c r="E36" t="s">
        <v>24</v>
      </c>
      <c r="G36" t="s">
        <v>24</v>
      </c>
      <c r="I36" t="s">
        <v>24</v>
      </c>
      <c r="K36" t="s">
        <v>24</v>
      </c>
      <c r="M36" t="s">
        <v>24</v>
      </c>
    </row>
    <row r="37" spans="1:14" x14ac:dyDescent="0.3">
      <c r="A37" t="s">
        <v>97</v>
      </c>
      <c r="B37">
        <v>0</v>
      </c>
      <c r="C37" t="s">
        <v>80</v>
      </c>
      <c r="D37">
        <v>0</v>
      </c>
      <c r="E37" t="s">
        <v>73</v>
      </c>
      <c r="F37">
        <v>11</v>
      </c>
      <c r="G37" t="s">
        <v>66</v>
      </c>
      <c r="H37">
        <v>94</v>
      </c>
      <c r="I37" t="s">
        <v>58</v>
      </c>
      <c r="J37">
        <v>47</v>
      </c>
      <c r="K37" t="s">
        <v>50</v>
      </c>
      <c r="M37" t="s">
        <v>42</v>
      </c>
    </row>
    <row r="38" spans="1:14" x14ac:dyDescent="0.3">
      <c r="A38" t="s">
        <v>26</v>
      </c>
      <c r="C38" t="s">
        <v>26</v>
      </c>
      <c r="E38" t="s">
        <v>26</v>
      </c>
      <c r="G38" t="s">
        <v>26</v>
      </c>
      <c r="I38" t="s">
        <v>26</v>
      </c>
      <c r="K38" t="s">
        <v>26</v>
      </c>
      <c r="M38" t="s">
        <v>26</v>
      </c>
    </row>
    <row r="39" spans="1:14" x14ac:dyDescent="0.3">
      <c r="A39" t="s">
        <v>51</v>
      </c>
      <c r="B39">
        <f>_xlfn.BITXOR(B42,6)</f>
        <v>4</v>
      </c>
      <c r="C39" t="s">
        <v>81</v>
      </c>
      <c r="D39">
        <f>_xlfn.BITXOR(D42,6)</f>
        <v>6</v>
      </c>
      <c r="E39" t="s">
        <v>67</v>
      </c>
      <c r="F39">
        <f>_xlfn.BITXOR(F42,6)</f>
        <v>3</v>
      </c>
      <c r="G39" t="s">
        <v>67</v>
      </c>
      <c r="H39">
        <f>_xlfn.BITXOR(H42,6)</f>
        <v>3</v>
      </c>
      <c r="I39" t="s">
        <v>59</v>
      </c>
      <c r="J39">
        <f>_xlfn.BITXOR(J42,6)</f>
        <v>7</v>
      </c>
      <c r="K39" t="s">
        <v>51</v>
      </c>
      <c r="M39" t="s">
        <v>43</v>
      </c>
    </row>
    <row r="40" spans="1:14" x14ac:dyDescent="0.3">
      <c r="A40" t="s">
        <v>0</v>
      </c>
      <c r="B40" t="s">
        <v>95</v>
      </c>
      <c r="C40" t="s">
        <v>0</v>
      </c>
      <c r="E40" t="s">
        <v>0</v>
      </c>
      <c r="G40" t="s">
        <v>0</v>
      </c>
      <c r="I40" t="s">
        <v>0</v>
      </c>
      <c r="K40" t="s">
        <v>0</v>
      </c>
      <c r="M40" t="s">
        <v>0</v>
      </c>
    </row>
    <row r="41" spans="1:14" x14ac:dyDescent="0.3">
      <c r="A41" t="s">
        <v>96</v>
      </c>
      <c r="C41" t="s">
        <v>82</v>
      </c>
      <c r="E41" t="s">
        <v>74</v>
      </c>
      <c r="G41" t="s">
        <v>68</v>
      </c>
      <c r="I41" t="s">
        <v>60</v>
      </c>
      <c r="K41" t="s">
        <v>52</v>
      </c>
      <c r="M41" t="s">
        <v>44</v>
      </c>
    </row>
    <row r="42" spans="1:14" x14ac:dyDescent="0.3">
      <c r="A42" t="s">
        <v>88</v>
      </c>
      <c r="B42">
        <f>_xlfn.BITXOR(B44,B37)</f>
        <v>2</v>
      </c>
      <c r="C42" t="s">
        <v>83</v>
      </c>
      <c r="D42">
        <f>_xlfn.BITXOR(D44,D37)</f>
        <v>0</v>
      </c>
      <c r="E42" t="s">
        <v>75</v>
      </c>
      <c r="F42">
        <f>_xlfn.BITXOR(F44,F37)</f>
        <v>5</v>
      </c>
      <c r="G42" t="s">
        <v>69</v>
      </c>
      <c r="H42">
        <f>_xlfn.BITXOR(H44,H37)</f>
        <v>5</v>
      </c>
      <c r="I42" t="s">
        <v>61</v>
      </c>
      <c r="J42">
        <f>_xlfn.BITXOR(J44,J37)</f>
        <v>1</v>
      </c>
      <c r="K42" t="s">
        <v>53</v>
      </c>
      <c r="M42" t="s">
        <v>45</v>
      </c>
    </row>
    <row r="43" spans="1:14" x14ac:dyDescent="0.3">
      <c r="A43" t="s">
        <v>24</v>
      </c>
      <c r="B43" t="s">
        <v>93</v>
      </c>
      <c r="C43" t="s">
        <v>24</v>
      </c>
      <c r="E43" t="s">
        <v>24</v>
      </c>
      <c r="G43" t="s">
        <v>24</v>
      </c>
      <c r="I43" t="s">
        <v>24</v>
      </c>
      <c r="K43" t="s">
        <v>24</v>
      </c>
      <c r="M43" t="s">
        <v>24</v>
      </c>
    </row>
    <row r="44" spans="1:14" x14ac:dyDescent="0.3">
      <c r="A44" t="s">
        <v>89</v>
      </c>
      <c r="B44">
        <v>2</v>
      </c>
      <c r="C44" t="s">
        <v>19</v>
      </c>
      <c r="D44">
        <v>0</v>
      </c>
      <c r="E44" t="s">
        <v>76</v>
      </c>
      <c r="F44">
        <v>14</v>
      </c>
      <c r="G44" t="s">
        <v>70</v>
      </c>
      <c r="H44">
        <v>91</v>
      </c>
      <c r="I44" t="s">
        <v>62</v>
      </c>
      <c r="J44">
        <v>46</v>
      </c>
      <c r="K44" t="s">
        <v>54</v>
      </c>
      <c r="L44">
        <v>3</v>
      </c>
      <c r="M44" t="s">
        <v>46</v>
      </c>
      <c r="N44">
        <v>1</v>
      </c>
    </row>
    <row r="45" spans="1:14" x14ac:dyDescent="0.3">
      <c r="B45">
        <v>2</v>
      </c>
      <c r="D45">
        <v>0</v>
      </c>
      <c r="F45">
        <v>6</v>
      </c>
      <c r="H45">
        <v>3</v>
      </c>
      <c r="J45">
        <v>6</v>
      </c>
      <c r="L45">
        <v>3</v>
      </c>
    </row>
    <row r="47" spans="1:14" x14ac:dyDescent="0.3">
      <c r="A47" t="s">
        <v>4</v>
      </c>
    </row>
    <row r="49" spans="1:8" x14ac:dyDescent="0.3">
      <c r="A49" t="s">
        <v>90</v>
      </c>
    </row>
    <row r="50" spans="1:8" x14ac:dyDescent="0.3">
      <c r="A50" t="s">
        <v>91</v>
      </c>
    </row>
    <row r="51" spans="1:8" x14ac:dyDescent="0.3">
      <c r="A51" t="s">
        <v>92</v>
      </c>
    </row>
    <row r="53" spans="1:8" x14ac:dyDescent="0.3">
      <c r="B53">
        <v>2</v>
      </c>
      <c r="D53">
        <v>0</v>
      </c>
    </row>
    <row r="54" spans="1:8" x14ac:dyDescent="0.3">
      <c r="B54">
        <v>0</v>
      </c>
      <c r="D54">
        <v>3</v>
      </c>
    </row>
    <row r="55" spans="1:8" x14ac:dyDescent="0.3">
      <c r="B55">
        <v>6</v>
      </c>
      <c r="D55">
        <v>5</v>
      </c>
    </row>
    <row r="56" spans="1:8" x14ac:dyDescent="0.3">
      <c r="B56">
        <v>3</v>
      </c>
      <c r="D56">
        <v>5</v>
      </c>
    </row>
    <row r="58" spans="1:8" x14ac:dyDescent="0.3">
      <c r="A58" t="s">
        <v>94</v>
      </c>
      <c r="B58">
        <v>1</v>
      </c>
    </row>
    <row r="59" spans="1:8" x14ac:dyDescent="0.3">
      <c r="A59" t="s">
        <v>99</v>
      </c>
      <c r="B59">
        <v>0</v>
      </c>
    </row>
    <row r="60" spans="1:8" x14ac:dyDescent="0.3">
      <c r="A60" t="s">
        <v>101</v>
      </c>
      <c r="B60">
        <v>2</v>
      </c>
      <c r="D60">
        <v>0</v>
      </c>
      <c r="F60">
        <v>6</v>
      </c>
      <c r="H60">
        <v>3</v>
      </c>
    </row>
    <row r="61" spans="1:8" x14ac:dyDescent="0.3">
      <c r="A61" t="s">
        <v>93</v>
      </c>
      <c r="B61">
        <f>MOD(B58,8)</f>
        <v>1</v>
      </c>
    </row>
    <row r="62" spans="1:8" x14ac:dyDescent="0.3">
      <c r="B62">
        <f>_xlfn.BITXOR(B61,5)</f>
        <v>4</v>
      </c>
    </row>
    <row r="63" spans="1:8" x14ac:dyDescent="0.3">
      <c r="B63">
        <f>_xlfn.BITXOR(B62,6)</f>
        <v>2</v>
      </c>
    </row>
    <row r="64" spans="1:8" x14ac:dyDescent="0.3">
      <c r="A64" t="s">
        <v>99</v>
      </c>
      <c r="B64">
        <f>_xlfn.FLOOR.MATH(B58,POWER(2,B62))</f>
        <v>0</v>
      </c>
    </row>
    <row r="65" spans="1:2" x14ac:dyDescent="0.3">
      <c r="A65" t="s">
        <v>100</v>
      </c>
      <c r="B65">
        <f>_xlfn.BITXOR(B64,B63)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8C6B-40AE-4457-9E6A-C55FC01823C0}">
  <dimension ref="A1:Q30"/>
  <sheetViews>
    <sheetView workbookViewId="0">
      <selection activeCell="J13" sqref="J13"/>
    </sheetView>
  </sheetViews>
  <sheetFormatPr defaultRowHeight="14.4" x14ac:dyDescent="0.3"/>
  <cols>
    <col min="1" max="1" width="18.44140625" bestFit="1" customWidth="1"/>
    <col min="2" max="2" width="18.44140625" customWidth="1"/>
  </cols>
  <sheetData>
    <row r="1" spans="1:17" x14ac:dyDescent="0.3">
      <c r="A1">
        <f>_xlfn.BITXOR(11,14)</f>
        <v>5</v>
      </c>
    </row>
    <row r="3" spans="1:17" x14ac:dyDescent="0.3">
      <c r="A3" t="s">
        <v>2</v>
      </c>
      <c r="B3" t="s">
        <v>94</v>
      </c>
      <c r="C3" t="s">
        <v>94</v>
      </c>
      <c r="D3">
        <v>1</v>
      </c>
      <c r="E3" t="s">
        <v>2</v>
      </c>
      <c r="I3" t="s">
        <v>2</v>
      </c>
      <c r="L3" t="s">
        <v>2</v>
      </c>
      <c r="O3" t="s">
        <v>2</v>
      </c>
    </row>
    <row r="4" spans="1:17" x14ac:dyDescent="0.3">
      <c r="A4" t="s">
        <v>98</v>
      </c>
      <c r="B4" t="s">
        <v>102</v>
      </c>
      <c r="C4">
        <v>1</v>
      </c>
      <c r="D4">
        <v>1</v>
      </c>
      <c r="E4" t="s">
        <v>78</v>
      </c>
      <c r="G4">
        <f>C4*8+G6</f>
        <v>11</v>
      </c>
      <c r="I4" t="s">
        <v>72</v>
      </c>
      <c r="K4">
        <f>G4*8+K6</f>
        <v>93</v>
      </c>
      <c r="L4" t="s">
        <v>64</v>
      </c>
      <c r="N4">
        <f>K4*8+N6</f>
        <v>750</v>
      </c>
      <c r="O4" t="s">
        <v>56</v>
      </c>
      <c r="Q4">
        <f>N4*8+Q6</f>
        <v>6002</v>
      </c>
    </row>
    <row r="5" spans="1:17" x14ac:dyDescent="0.3">
      <c r="A5" t="s">
        <v>22</v>
      </c>
      <c r="B5" s="1" t="s">
        <v>109</v>
      </c>
      <c r="C5">
        <v>5</v>
      </c>
      <c r="E5" t="s">
        <v>22</v>
      </c>
      <c r="G5">
        <v>5</v>
      </c>
      <c r="I5" t="s">
        <v>22</v>
      </c>
      <c r="K5">
        <v>5</v>
      </c>
      <c r="L5" t="s">
        <v>22</v>
      </c>
      <c r="N5">
        <v>5</v>
      </c>
      <c r="O5" t="s">
        <v>22</v>
      </c>
      <c r="Q5">
        <v>5</v>
      </c>
    </row>
    <row r="6" spans="1:17" x14ac:dyDescent="0.3">
      <c r="A6" t="s">
        <v>49</v>
      </c>
      <c r="B6" t="s">
        <v>103</v>
      </c>
      <c r="C6">
        <f>_xlfn.BITXOR(C10,5)</f>
        <v>0</v>
      </c>
      <c r="D6">
        <f>_xlfn.BITXOR(D4,5)</f>
        <v>4</v>
      </c>
      <c r="E6" t="s">
        <v>79</v>
      </c>
      <c r="G6">
        <f>_xlfn.BITXOR(G10,G5)</f>
        <v>3</v>
      </c>
      <c r="I6" t="s">
        <v>65</v>
      </c>
      <c r="K6">
        <f>_xlfn.BITXOR(K10,K5)</f>
        <v>5</v>
      </c>
      <c r="L6" t="s">
        <v>65</v>
      </c>
      <c r="N6">
        <f>_xlfn.BITXOR(N10,N5)</f>
        <v>6</v>
      </c>
      <c r="O6" t="s">
        <v>57</v>
      </c>
      <c r="Q6">
        <f>_xlfn.BITXOR(Q10,Q5)</f>
        <v>2</v>
      </c>
    </row>
    <row r="7" spans="1:17" x14ac:dyDescent="0.3">
      <c r="A7" t="s">
        <v>24</v>
      </c>
      <c r="B7" t="s">
        <v>93</v>
      </c>
      <c r="C7" t="s">
        <v>93</v>
      </c>
      <c r="D7">
        <v>4</v>
      </c>
      <c r="E7" t="s">
        <v>24</v>
      </c>
      <c r="I7" t="s">
        <v>24</v>
      </c>
      <c r="L7" t="s">
        <v>24</v>
      </c>
      <c r="O7" t="s">
        <v>24</v>
      </c>
    </row>
    <row r="8" spans="1:17" x14ac:dyDescent="0.3">
      <c r="A8" t="s">
        <v>97</v>
      </c>
      <c r="B8" t="s">
        <v>104</v>
      </c>
      <c r="C8">
        <v>1</v>
      </c>
      <c r="D8">
        <v>0</v>
      </c>
      <c r="E8" t="s">
        <v>80</v>
      </c>
      <c r="G8">
        <v>0</v>
      </c>
      <c r="I8" t="s">
        <v>73</v>
      </c>
      <c r="K8">
        <v>0</v>
      </c>
      <c r="L8" t="s">
        <v>66</v>
      </c>
      <c r="N8">
        <v>94</v>
      </c>
      <c r="O8" t="s">
        <v>58</v>
      </c>
      <c r="Q8">
        <v>47</v>
      </c>
    </row>
    <row r="9" spans="1:17" x14ac:dyDescent="0.3">
      <c r="A9" t="s">
        <v>26</v>
      </c>
      <c r="B9" s="1" t="s">
        <v>108</v>
      </c>
      <c r="E9" t="s">
        <v>26</v>
      </c>
      <c r="I9" t="s">
        <v>26</v>
      </c>
      <c r="L9" t="s">
        <v>26</v>
      </c>
      <c r="O9" t="s">
        <v>26</v>
      </c>
    </row>
    <row r="10" spans="1:17" x14ac:dyDescent="0.3">
      <c r="A10" t="s">
        <v>51</v>
      </c>
      <c r="B10" t="s">
        <v>106</v>
      </c>
      <c r="C10">
        <f>_xlfn.BITXOR(C13,6)</f>
        <v>5</v>
      </c>
      <c r="D10">
        <f>_xlfn.BITXOR(D7,6)</f>
        <v>2</v>
      </c>
      <c r="E10" t="s">
        <v>81</v>
      </c>
      <c r="G10">
        <f>_xlfn.BITXOR(G15,6)</f>
        <v>6</v>
      </c>
      <c r="I10" t="s">
        <v>67</v>
      </c>
      <c r="K10">
        <f>_xlfn.BITXOR(K15,6)</f>
        <v>0</v>
      </c>
      <c r="L10" t="s">
        <v>67</v>
      </c>
      <c r="N10">
        <f>_xlfn.BITXOR(N13,6)</f>
        <v>3</v>
      </c>
      <c r="O10" t="s">
        <v>59</v>
      </c>
      <c r="Q10">
        <f>_xlfn.BITXOR(Q13,6)</f>
        <v>7</v>
      </c>
    </row>
    <row r="11" spans="1:17" x14ac:dyDescent="0.3">
      <c r="A11" t="s">
        <v>0</v>
      </c>
      <c r="B11" t="s">
        <v>107</v>
      </c>
      <c r="C11" t="s">
        <v>95</v>
      </c>
      <c r="E11" t="s">
        <v>0</v>
      </c>
      <c r="I11" t="s">
        <v>0</v>
      </c>
      <c r="L11" t="s">
        <v>0</v>
      </c>
      <c r="O11" t="s">
        <v>0</v>
      </c>
    </row>
    <row r="12" spans="1:17" x14ac:dyDescent="0.3">
      <c r="A12" t="s">
        <v>96</v>
      </c>
      <c r="B12" t="s">
        <v>105</v>
      </c>
      <c r="D12">
        <v>0</v>
      </c>
      <c r="E12" t="s">
        <v>82</v>
      </c>
      <c r="G12">
        <f>C4*8+G6</f>
        <v>11</v>
      </c>
      <c r="I12" t="s">
        <v>74</v>
      </c>
      <c r="K12">
        <f>G4*8+K6</f>
        <v>93</v>
      </c>
      <c r="L12" t="s">
        <v>68</v>
      </c>
      <c r="N12">
        <f>K4*8+N6</f>
        <v>750</v>
      </c>
      <c r="O12" t="s">
        <v>60</v>
      </c>
      <c r="Q12">
        <f>N4*8+Q6</f>
        <v>6002</v>
      </c>
    </row>
    <row r="13" spans="1:17" x14ac:dyDescent="0.3">
      <c r="A13" t="s">
        <v>88</v>
      </c>
      <c r="B13" t="s">
        <v>110</v>
      </c>
      <c r="C13">
        <f>_xlfn.BITXOR(C8,C15)</f>
        <v>3</v>
      </c>
      <c r="D13">
        <f>_xlfn.BITXOR(D8,D10)</f>
        <v>2</v>
      </c>
      <c r="E13" t="s">
        <v>83</v>
      </c>
      <c r="G13">
        <f>_xlfn.BITXOR(G15,G16)</f>
        <v>0</v>
      </c>
      <c r="I13" t="s">
        <v>75</v>
      </c>
      <c r="K13">
        <f>_xlfn.BITXOR(K15,K16)</f>
        <v>0</v>
      </c>
      <c r="L13" t="s">
        <v>69</v>
      </c>
      <c r="N13">
        <f>_xlfn.BITXOR(N15,N8)</f>
        <v>5</v>
      </c>
      <c r="O13" t="s">
        <v>61</v>
      </c>
      <c r="Q13">
        <f>_xlfn.BITXOR(Q15,Q8)</f>
        <v>1</v>
      </c>
    </row>
    <row r="14" spans="1:17" x14ac:dyDescent="0.3">
      <c r="A14" t="s">
        <v>24</v>
      </c>
      <c r="B14" t="s">
        <v>93</v>
      </c>
      <c r="C14" t="s">
        <v>93</v>
      </c>
      <c r="D14">
        <v>2</v>
      </c>
      <c r="E14" t="s">
        <v>24</v>
      </c>
      <c r="I14" t="s">
        <v>24</v>
      </c>
      <c r="L14" t="s">
        <v>24</v>
      </c>
      <c r="O14" t="s">
        <v>24</v>
      </c>
    </row>
    <row r="15" spans="1:17" x14ac:dyDescent="0.3">
      <c r="A15" t="s">
        <v>89</v>
      </c>
      <c r="B15" t="s">
        <v>93</v>
      </c>
      <c r="C15">
        <f>C16</f>
        <v>2</v>
      </c>
      <c r="D15">
        <v>2</v>
      </c>
      <c r="E15" t="s">
        <v>19</v>
      </c>
      <c r="G15">
        <f>G16</f>
        <v>0</v>
      </c>
      <c r="I15" t="s">
        <v>76</v>
      </c>
      <c r="K15">
        <f>K16</f>
        <v>6</v>
      </c>
      <c r="L15" t="s">
        <v>70</v>
      </c>
      <c r="N15">
        <v>91</v>
      </c>
      <c r="O15" t="s">
        <v>62</v>
      </c>
      <c r="Q15">
        <v>46</v>
      </c>
    </row>
    <row r="16" spans="1:17" x14ac:dyDescent="0.3">
      <c r="C16">
        <v>2</v>
      </c>
      <c r="D16">
        <v>2</v>
      </c>
      <c r="G16">
        <v>0</v>
      </c>
      <c r="K16">
        <v>6</v>
      </c>
      <c r="N16">
        <v>3</v>
      </c>
      <c r="Q16">
        <v>6</v>
      </c>
    </row>
    <row r="18" spans="1:5" x14ac:dyDescent="0.3">
      <c r="B18">
        <v>2</v>
      </c>
      <c r="E18">
        <v>0</v>
      </c>
    </row>
    <row r="19" spans="1:5" x14ac:dyDescent="0.3">
      <c r="B19">
        <v>0</v>
      </c>
      <c r="E19">
        <v>3</v>
      </c>
    </row>
    <row r="20" spans="1:5" x14ac:dyDescent="0.3">
      <c r="B20">
        <v>6</v>
      </c>
      <c r="E20">
        <v>5</v>
      </c>
    </row>
    <row r="21" spans="1:5" x14ac:dyDescent="0.3">
      <c r="B21">
        <v>3</v>
      </c>
      <c r="E21">
        <v>5</v>
      </c>
    </row>
    <row r="23" spans="1:5" x14ac:dyDescent="0.3">
      <c r="A23" t="s">
        <v>101</v>
      </c>
      <c r="B23">
        <v>2</v>
      </c>
    </row>
    <row r="24" spans="1:5" x14ac:dyDescent="0.3">
      <c r="A24" t="s">
        <v>94</v>
      </c>
      <c r="B24">
        <v>0</v>
      </c>
    </row>
    <row r="25" spans="1:5" x14ac:dyDescent="0.3">
      <c r="A25" t="s">
        <v>93</v>
      </c>
      <c r="B25">
        <f>B23</f>
        <v>2</v>
      </c>
    </row>
    <row r="26" spans="1:5" x14ac:dyDescent="0.3">
      <c r="A26" t="s">
        <v>99</v>
      </c>
      <c r="B26">
        <v>0</v>
      </c>
    </row>
    <row r="28" spans="1:5" x14ac:dyDescent="0.3">
      <c r="A28" t="s">
        <v>93</v>
      </c>
      <c r="B28">
        <f>_xlfn.BITXOR(B25,6)</f>
        <v>4</v>
      </c>
    </row>
    <row r="29" spans="1:5" x14ac:dyDescent="0.3">
      <c r="A29" t="s">
        <v>93</v>
      </c>
      <c r="B29">
        <f>_xlfn.BITXOR(B28,5)</f>
        <v>1</v>
      </c>
    </row>
    <row r="30" spans="1:5" x14ac:dyDescent="0.3">
      <c r="A30" t="s">
        <v>94</v>
      </c>
      <c r="B30">
        <f>MOD(B29,8)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6B4B-4316-4DAE-AF62-73F3C29D28BE}">
  <dimension ref="B2:N13"/>
  <sheetViews>
    <sheetView tabSelected="1" workbookViewId="0">
      <selection activeCell="N13" sqref="N13"/>
    </sheetView>
  </sheetViews>
  <sheetFormatPr defaultRowHeight="14.4" x14ac:dyDescent="0.3"/>
  <cols>
    <col min="2" max="2" width="34.109375" customWidth="1"/>
  </cols>
  <sheetData>
    <row r="2" spans="2:14" x14ac:dyDescent="0.3">
      <c r="C2">
        <v>3</v>
      </c>
      <c r="D2">
        <v>24</v>
      </c>
    </row>
    <row r="3" spans="2:14" x14ac:dyDescent="0.3">
      <c r="C3">
        <v>7</v>
      </c>
      <c r="D3">
        <v>64</v>
      </c>
      <c r="E3">
        <v>512</v>
      </c>
    </row>
    <row r="4" spans="2:14" x14ac:dyDescent="0.3">
      <c r="C4">
        <f>C2/C3</f>
        <v>0.42857142857142855</v>
      </c>
      <c r="D4">
        <f>D2/D3</f>
        <v>0.375</v>
      </c>
    </row>
    <row r="6" spans="2:14" x14ac:dyDescent="0.3">
      <c r="C6">
        <f>POWER(8,C7)</f>
        <v>8</v>
      </c>
      <c r="D6">
        <f>POWER(8,D7)</f>
        <v>64</v>
      </c>
      <c r="E6">
        <f>POWER(8,E7)</f>
        <v>512</v>
      </c>
      <c r="F6">
        <f>POWER(8,F7)</f>
        <v>4096</v>
      </c>
      <c r="G6">
        <f>POWER(8,G7)</f>
        <v>32768</v>
      </c>
      <c r="H6">
        <f>POWER(8,H7)</f>
        <v>262144</v>
      </c>
      <c r="I6">
        <f t="shared" ref="I6:N6" si="0">POWER(8,I7)</f>
        <v>2097152</v>
      </c>
      <c r="J6">
        <f t="shared" si="0"/>
        <v>16777216</v>
      </c>
      <c r="K6">
        <f t="shared" si="0"/>
        <v>134217728</v>
      </c>
      <c r="L6">
        <f t="shared" si="0"/>
        <v>1073741824</v>
      </c>
      <c r="M6">
        <f t="shared" si="0"/>
        <v>8589934592</v>
      </c>
      <c r="N6">
        <f t="shared" si="0"/>
        <v>281474976710656</v>
      </c>
    </row>
    <row r="7" spans="2:14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16</v>
      </c>
    </row>
    <row r="10" spans="2:14" x14ac:dyDescent="0.3">
      <c r="B10">
        <v>0.37603241950273503</v>
      </c>
      <c r="C10">
        <f>$B$10*C6</f>
        <v>3.0082593560218802</v>
      </c>
      <c r="D10">
        <f t="shared" ref="D10:N10" si="1">$B$10*D6</f>
        <v>24.066074848175042</v>
      </c>
      <c r="E10">
        <f t="shared" si="1"/>
        <v>192.52859878540033</v>
      </c>
      <c r="F10">
        <f t="shared" si="1"/>
        <v>1540.2287902832027</v>
      </c>
      <c r="G10">
        <f t="shared" si="1"/>
        <v>12321.830322265621</v>
      </c>
      <c r="H10">
        <f t="shared" si="1"/>
        <v>98574.642578124971</v>
      </c>
      <c r="I10">
        <f t="shared" si="1"/>
        <v>788597.14062499977</v>
      </c>
      <c r="J10">
        <f t="shared" si="1"/>
        <v>6308777.1249999981</v>
      </c>
      <c r="K10">
        <f t="shared" si="1"/>
        <v>50470216.999999985</v>
      </c>
      <c r="L10">
        <f t="shared" si="1"/>
        <v>403761735.99999988</v>
      </c>
      <c r="M10">
        <f t="shared" si="1"/>
        <v>3230093887.999999</v>
      </c>
      <c r="N10">
        <f t="shared" si="1"/>
        <v>105843716521983.97</v>
      </c>
    </row>
    <row r="12" spans="2:14" x14ac:dyDescent="0.3">
      <c r="G12">
        <v>12304</v>
      </c>
      <c r="H12">
        <v>98456</v>
      </c>
      <c r="I12">
        <v>788568</v>
      </c>
      <c r="J12">
        <v>6308584</v>
      </c>
      <c r="K12">
        <v>50468720</v>
      </c>
      <c r="M12">
        <v>3230093888</v>
      </c>
      <c r="N12">
        <v>105843716614553</v>
      </c>
    </row>
    <row r="13" spans="2:14" x14ac:dyDescent="0.3">
      <c r="G13">
        <f>G12/G6</f>
        <v>0.37548828125</v>
      </c>
      <c r="H13">
        <f>H12/H6</f>
        <v>0.375579833984375</v>
      </c>
      <c r="I13">
        <f>I12/I6</f>
        <v>0.37601852416992188</v>
      </c>
      <c r="J13">
        <f>J12/J6</f>
        <v>0.37602090835571289</v>
      </c>
      <c r="K13">
        <f>K12/K6</f>
        <v>0.37602126598358154</v>
      </c>
      <c r="L13">
        <f>L12/L6</f>
        <v>0</v>
      </c>
      <c r="M13">
        <f>M12/M6</f>
        <v>0.37603241950273514</v>
      </c>
      <c r="N13">
        <f>N12/N6</f>
        <v>0.37603241983160629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Rx2</vt:lpstr>
      <vt:lpstr>Rx3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Gordan Gubic</dc:creator>
  <cp:lastModifiedBy>Gordan Gubic</cp:lastModifiedBy>
  <dcterms:created xsi:type="dcterms:W3CDTF">2022-12-15T06:06:25Z</dcterms:created>
  <dcterms:modified xsi:type="dcterms:W3CDTF">2024-12-18T00:27:38Z</dcterms:modified>
</cp:coreProperties>
</file>